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github\rapor724\"/>
    </mc:Choice>
  </mc:AlternateContent>
  <xr:revisionPtr revIDLastSave="0" documentId="8_{8CBF24D1-BE19-4DEC-98EE-2DBE70263217}" xr6:coauthVersionLast="47" xr6:coauthVersionMax="47" xr10:uidLastSave="{00000000-0000-0000-0000-000000000000}"/>
  <bookViews>
    <workbookView xWindow="-120" yWindow="-120" windowWidth="29040" windowHeight="15720" tabRatio="795" firstSheet="5" activeTab="15" xr2:uid="{00000000-000D-0000-FFFF-FFFF00000000}"/>
  </bookViews>
  <sheets>
    <sheet name="Sheet1" sheetId="1" r:id="rId1"/>
    <sheet name="Sheet1 (7)" sheetId="7" r:id="rId2"/>
    <sheet name="Sheet1 (8)" sheetId="8" r:id="rId3"/>
    <sheet name="Sheet1 (2)" sheetId="2" r:id="rId4"/>
    <sheet name="Sheet1 (3)" sheetId="3" r:id="rId5"/>
    <sheet name="Sheet1 (4)" sheetId="4" r:id="rId6"/>
    <sheet name="Sheet1 (5)" sheetId="5" r:id="rId7"/>
    <sheet name="Sheet1 (6)" sheetId="6" r:id="rId8"/>
    <sheet name="AYRI--" sheetId="11" r:id="rId9"/>
    <sheet name="BİRLEŞME" sheetId="9" r:id="rId10"/>
    <sheet name="BİRLEŞME (2)" sheetId="13" r:id="rId11"/>
    <sheet name="BİRLEŞME (3)" sheetId="16" r:id="rId12"/>
    <sheet name="BİRLEŞME-3" sheetId="14" r:id="rId13"/>
    <sheet name="BİRLEŞME-3 (2)" sheetId="15" r:id="rId14"/>
    <sheet name="BİRLEŞME-3 (3)" sheetId="17" r:id="rId15"/>
    <sheet name="ÇAYKARA-1 (2)" sheetId="22" r:id="rId16"/>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1" i="22" l="1"/>
  <c r="F22" i="22"/>
  <c r="D21" i="22"/>
  <c r="F21" i="22" s="1"/>
  <c r="F23" i="22" s="1"/>
  <c r="D17" i="22"/>
  <c r="L8" i="22" s="1"/>
  <c r="N8" i="22" s="1"/>
  <c r="D16" i="22"/>
  <c r="F16" i="22" s="1"/>
  <c r="D14" i="22"/>
  <c r="F14" i="22" s="1"/>
  <c r="R18" i="22"/>
  <c r="F15" i="22"/>
  <c r="F13" i="22"/>
  <c r="F12" i="22"/>
  <c r="F11" i="22"/>
  <c r="F10" i="22"/>
  <c r="F9" i="22"/>
  <c r="F8" i="22"/>
  <c r="F7" i="22"/>
  <c r="F6" i="22"/>
  <c r="F5" i="22"/>
  <c r="F4" i="22"/>
  <c r="F17" i="22" l="1"/>
  <c r="F18" i="22" s="1"/>
  <c r="J18" i="22" s="1"/>
  <c r="L15" i="22"/>
  <c r="N15" i="22" s="1"/>
  <c r="L11" i="22"/>
  <c r="N11" i="22" s="1"/>
  <c r="L7" i="22"/>
  <c r="N7" i="22" s="1"/>
  <c r="L14" i="22"/>
  <c r="N14" i="22" s="1"/>
  <c r="L10" i="22"/>
  <c r="N10" i="22" s="1"/>
  <c r="L6" i="22"/>
  <c r="N6" i="22" s="1"/>
  <c r="L13" i="22"/>
  <c r="N13" i="22" s="1"/>
  <c r="L9" i="22"/>
  <c r="N9" i="22" s="1"/>
  <c r="L16" i="22"/>
  <c r="N16" i="22" s="1"/>
  <c r="L12" i="22"/>
  <c r="N12" i="22" s="1"/>
  <c r="L18" i="22" l="1"/>
  <c r="J9" i="22"/>
  <c r="I9" i="22" s="1"/>
  <c r="J13" i="22"/>
  <c r="J6" i="22"/>
  <c r="J12" i="22"/>
  <c r="I12" i="22" s="1"/>
  <c r="J10" i="22"/>
  <c r="I10" i="22" s="1"/>
  <c r="J14" i="22"/>
  <c r="J11" i="22"/>
  <c r="J15" i="22"/>
  <c r="I15" i="22" s="1"/>
  <c r="J8" i="22"/>
  <c r="I8" i="22" s="1"/>
  <c r="J16" i="22"/>
  <c r="I16" i="22" s="1"/>
  <c r="J7" i="22"/>
  <c r="I7" i="22" s="1"/>
  <c r="S5" i="22"/>
  <c r="P9" i="22" l="1"/>
  <c r="S9" i="22" s="1"/>
  <c r="N18" i="22"/>
  <c r="P11" i="22"/>
  <c r="S11" i="22" s="1"/>
  <c r="P10" i="22"/>
  <c r="S10" i="22" s="1"/>
  <c r="P14" i="22"/>
  <c r="S14" i="22" s="1"/>
  <c r="P13" i="22"/>
  <c r="S13" i="22" s="1"/>
  <c r="I14" i="22"/>
  <c r="P7" i="22"/>
  <c r="S7" i="22" s="1"/>
  <c r="I13" i="22"/>
  <c r="P8" i="22"/>
  <c r="S8" i="22" s="1"/>
  <c r="P16" i="22"/>
  <c r="S16" i="22" s="1"/>
  <c r="P12" i="22"/>
  <c r="S12" i="22" s="1"/>
  <c r="I11" i="22"/>
  <c r="P15" i="22"/>
  <c r="S15" i="22" s="1"/>
  <c r="F6" i="17"/>
  <c r="F7" i="17"/>
  <c r="F8" i="17"/>
  <c r="F9" i="17"/>
  <c r="F10" i="17"/>
  <c r="F11" i="17"/>
  <c r="F12" i="17"/>
  <c r="F13" i="17"/>
  <c r="F14" i="17"/>
  <c r="F15" i="17"/>
  <c r="F16" i="17"/>
  <c r="F17" i="17"/>
  <c r="F4" i="17"/>
  <c r="D5" i="17"/>
  <c r="F5" i="17" s="1"/>
  <c r="H19" i="17"/>
  <c r="L19" i="17"/>
  <c r="L18" i="15"/>
  <c r="L19" i="15" s="1"/>
  <c r="K17" i="15"/>
  <c r="K16" i="15"/>
  <c r="K15" i="15"/>
  <c r="K14" i="15"/>
  <c r="K13" i="15"/>
  <c r="K12" i="15"/>
  <c r="K11" i="15"/>
  <c r="K10" i="15"/>
  <c r="K9" i="15"/>
  <c r="K8" i="15"/>
  <c r="K7" i="15"/>
  <c r="K6" i="15"/>
  <c r="K5" i="15"/>
  <c r="K4" i="15"/>
  <c r="K19" i="15" s="1"/>
  <c r="G18" i="15"/>
  <c r="F6" i="15"/>
  <c r="F7" i="15"/>
  <c r="F8" i="15"/>
  <c r="F9" i="15"/>
  <c r="F10" i="15"/>
  <c r="F11" i="15"/>
  <c r="F12" i="15"/>
  <c r="F13" i="15"/>
  <c r="F14" i="15"/>
  <c r="F15" i="15"/>
  <c r="F16" i="15"/>
  <c r="F17" i="15"/>
  <c r="F4" i="15"/>
  <c r="I19" i="15"/>
  <c r="L31" i="16"/>
  <c r="L32" i="16" s="1"/>
  <c r="L33" i="16" s="1"/>
  <c r="O27" i="16"/>
  <c r="L27" i="16"/>
  <c r="G27" i="16"/>
  <c r="D27" i="16"/>
  <c r="I27" i="16" s="1"/>
  <c r="O14" i="16"/>
  <c r="L14" i="16"/>
  <c r="G14" i="16"/>
  <c r="D14" i="16"/>
  <c r="D5" i="15"/>
  <c r="F5" i="15" s="1"/>
  <c r="M17" i="14"/>
  <c r="L17" i="14"/>
  <c r="D4" i="14"/>
  <c r="D3" i="14"/>
  <c r="L31" i="13"/>
  <c r="L32" i="13"/>
  <c r="L33" i="13" s="1"/>
  <c r="I14" i="9"/>
  <c r="O27" i="13"/>
  <c r="L27" i="13"/>
  <c r="G27" i="13"/>
  <c r="D27" i="13"/>
  <c r="I27" i="13" s="1"/>
  <c r="O14" i="13"/>
  <c r="L14" i="13"/>
  <c r="G14" i="13"/>
  <c r="D14" i="13"/>
  <c r="F19" i="17" l="1"/>
  <c r="J19" i="17" s="1"/>
  <c r="J3" i="17" s="1"/>
  <c r="F19" i="15"/>
  <c r="G19" i="15"/>
  <c r="I14" i="16"/>
  <c r="J11" i="16" s="1"/>
  <c r="R11" i="16" s="1"/>
  <c r="I10" i="16"/>
  <c r="Q10" i="16" s="1"/>
  <c r="I6" i="16"/>
  <c r="Q6" i="16" s="1"/>
  <c r="J5" i="16"/>
  <c r="R5" i="16" s="1"/>
  <c r="I12" i="16"/>
  <c r="Q12" i="16" s="1"/>
  <c r="I8" i="16"/>
  <c r="Q8" i="16" s="1"/>
  <c r="J7" i="16"/>
  <c r="R7" i="16" s="1"/>
  <c r="I11" i="16"/>
  <c r="Q11" i="16" s="1"/>
  <c r="G15" i="16"/>
  <c r="J6" i="16"/>
  <c r="R6" i="16" s="1"/>
  <c r="J9" i="16"/>
  <c r="R9" i="16" s="1"/>
  <c r="I9" i="16"/>
  <c r="Q9" i="16" s="1"/>
  <c r="I5" i="16"/>
  <c r="Q5" i="16" s="1"/>
  <c r="J12" i="16"/>
  <c r="R12" i="16" s="1"/>
  <c r="J8" i="16"/>
  <c r="R8" i="16" s="1"/>
  <c r="I7" i="16"/>
  <c r="Q7" i="16" s="1"/>
  <c r="J24" i="16"/>
  <c r="R24" i="16" s="1"/>
  <c r="J20" i="16"/>
  <c r="R20" i="16" s="1"/>
  <c r="J23" i="16"/>
  <c r="R23" i="16" s="1"/>
  <c r="J22" i="16"/>
  <c r="R22" i="16" s="1"/>
  <c r="I22" i="16"/>
  <c r="Q22" i="16" s="1"/>
  <c r="I18" i="16"/>
  <c r="Q18" i="16" s="1"/>
  <c r="I21" i="16"/>
  <c r="Q21" i="16" s="1"/>
  <c r="I24" i="16"/>
  <c r="Q24" i="16" s="1"/>
  <c r="I20" i="16"/>
  <c r="Q20" i="16" s="1"/>
  <c r="L28" i="16"/>
  <c r="J19" i="16"/>
  <c r="R19" i="16" s="1"/>
  <c r="I23" i="16"/>
  <c r="Q23" i="16" s="1"/>
  <c r="I19" i="16"/>
  <c r="Q19" i="16" s="1"/>
  <c r="J25" i="16"/>
  <c r="R25" i="16" s="1"/>
  <c r="I25" i="16"/>
  <c r="Q25" i="16" s="1"/>
  <c r="J18" i="16"/>
  <c r="R18" i="16" s="1"/>
  <c r="J21" i="16"/>
  <c r="R21" i="16" s="1"/>
  <c r="G28" i="16"/>
  <c r="F4" i="14"/>
  <c r="F6" i="14"/>
  <c r="G6" i="14" s="1"/>
  <c r="J6" i="14" s="1"/>
  <c r="F5" i="14"/>
  <c r="G5" i="14" s="1"/>
  <c r="J5" i="14" s="1"/>
  <c r="G4" i="14"/>
  <c r="J4" i="14" s="1"/>
  <c r="F15" i="14"/>
  <c r="G15" i="14" s="1"/>
  <c r="J15" i="14" s="1"/>
  <c r="F8" i="14"/>
  <c r="G8" i="14" s="1"/>
  <c r="J8" i="14" s="1"/>
  <c r="F3" i="14"/>
  <c r="G3" i="14" s="1"/>
  <c r="J3" i="14" s="1"/>
  <c r="F16" i="14"/>
  <c r="G16" i="14" s="1"/>
  <c r="J16" i="14" s="1"/>
  <c r="F14" i="14"/>
  <c r="G14" i="14" s="1"/>
  <c r="J14" i="14" s="1"/>
  <c r="F13" i="14"/>
  <c r="G13" i="14" s="1"/>
  <c r="J13" i="14" s="1"/>
  <c r="F12" i="14"/>
  <c r="G12" i="14" s="1"/>
  <c r="J12" i="14" s="1"/>
  <c r="F11" i="14"/>
  <c r="G11" i="14" s="1"/>
  <c r="J11" i="14" s="1"/>
  <c r="F10" i="14"/>
  <c r="G10" i="14" s="1"/>
  <c r="J10" i="14" s="1"/>
  <c r="F9" i="14"/>
  <c r="G9" i="14" s="1"/>
  <c r="J9" i="14" s="1"/>
  <c r="F7" i="14"/>
  <c r="G7" i="14" s="1"/>
  <c r="J7" i="14" s="1"/>
  <c r="I14" i="13"/>
  <c r="J6" i="13" s="1"/>
  <c r="R6" i="13" s="1"/>
  <c r="I11" i="13"/>
  <c r="Q11" i="13" s="1"/>
  <c r="L28" i="13"/>
  <c r="J18" i="13"/>
  <c r="R18" i="13" s="1"/>
  <c r="J21" i="13"/>
  <c r="R21" i="13" s="1"/>
  <c r="I21" i="13"/>
  <c r="Q21" i="13" s="1"/>
  <c r="J20" i="13"/>
  <c r="R20" i="13" s="1"/>
  <c r="I20" i="13"/>
  <c r="Q20" i="13" s="1"/>
  <c r="J23" i="13"/>
  <c r="R23" i="13" s="1"/>
  <c r="J19" i="13"/>
  <c r="R19" i="13" s="1"/>
  <c r="J22" i="13"/>
  <c r="R22" i="13" s="1"/>
  <c r="I22" i="13"/>
  <c r="Q22" i="13" s="1"/>
  <c r="I18" i="13"/>
  <c r="Q18" i="13" s="1"/>
  <c r="J25" i="13"/>
  <c r="R25" i="13" s="1"/>
  <c r="I23" i="13"/>
  <c r="Q23" i="13" s="1"/>
  <c r="I19" i="13"/>
  <c r="Q19" i="13" s="1"/>
  <c r="I25" i="13"/>
  <c r="Q25" i="13" s="1"/>
  <c r="I24" i="13"/>
  <c r="Q24" i="13" s="1"/>
  <c r="J24" i="13"/>
  <c r="R24" i="13" s="1"/>
  <c r="G28" i="13"/>
  <c r="O25" i="11"/>
  <c r="L25" i="11"/>
  <c r="G25" i="11"/>
  <c r="D25" i="11"/>
  <c r="I25" i="11" s="1"/>
  <c r="O13" i="11"/>
  <c r="L13" i="11"/>
  <c r="G13" i="11"/>
  <c r="D13" i="11"/>
  <c r="I13" i="11" s="1"/>
  <c r="I23" i="9"/>
  <c r="J22" i="9"/>
  <c r="R22" i="9" s="1"/>
  <c r="J21" i="9"/>
  <c r="R21" i="9" s="1"/>
  <c r="I21" i="9"/>
  <c r="Q21" i="9" s="1"/>
  <c r="J20" i="9"/>
  <c r="R20" i="9" s="1"/>
  <c r="I20" i="9"/>
  <c r="J19" i="9"/>
  <c r="I19" i="9"/>
  <c r="J18" i="9"/>
  <c r="O27" i="9"/>
  <c r="L27" i="9"/>
  <c r="G27" i="9"/>
  <c r="G28" i="9" s="1"/>
  <c r="D27" i="9"/>
  <c r="I27" i="9" s="1"/>
  <c r="L28" i="9" s="1"/>
  <c r="L14" i="9"/>
  <c r="J9" i="9" s="1"/>
  <c r="R9" i="9" s="1"/>
  <c r="O14" i="9"/>
  <c r="G14" i="9"/>
  <c r="D14" i="9"/>
  <c r="G15" i="9" s="1"/>
  <c r="M12" i="8"/>
  <c r="L12" i="8"/>
  <c r="M11" i="8"/>
  <c r="L11" i="8"/>
  <c r="M10" i="8"/>
  <c r="L10" i="8"/>
  <c r="M9" i="8"/>
  <c r="L9" i="8"/>
  <c r="M8" i="8"/>
  <c r="L8" i="8"/>
  <c r="M7" i="8"/>
  <c r="L7" i="8"/>
  <c r="M6" i="8"/>
  <c r="L6" i="8"/>
  <c r="M5" i="8"/>
  <c r="L5" i="8"/>
  <c r="R5" i="8"/>
  <c r="R27" i="8"/>
  <c r="R28" i="8" s="1"/>
  <c r="R14" i="8"/>
  <c r="M18" i="8"/>
  <c r="O27" i="8"/>
  <c r="J27" i="8"/>
  <c r="G27" i="8"/>
  <c r="D27" i="8"/>
  <c r="M25" i="8"/>
  <c r="L25" i="8"/>
  <c r="M24" i="8"/>
  <c r="L24" i="8"/>
  <c r="M23" i="8"/>
  <c r="L23" i="8"/>
  <c r="M22" i="8"/>
  <c r="L22" i="8"/>
  <c r="M21" i="8"/>
  <c r="L21" i="8"/>
  <c r="M19" i="8"/>
  <c r="L19" i="8"/>
  <c r="L18" i="8"/>
  <c r="O14" i="8"/>
  <c r="G14" i="8"/>
  <c r="J14" i="8"/>
  <c r="D14" i="8"/>
  <c r="L14" i="8" s="1"/>
  <c r="R5" i="7"/>
  <c r="Q5" i="7"/>
  <c r="R3" i="7"/>
  <c r="D12" i="7"/>
  <c r="N12" i="7"/>
  <c r="G12" i="7"/>
  <c r="I12" i="7"/>
  <c r="L10" i="7"/>
  <c r="R10" i="7" s="1"/>
  <c r="K10" i="7"/>
  <c r="Q10" i="7" s="1"/>
  <c r="L9" i="7"/>
  <c r="R9" i="7" s="1"/>
  <c r="K9" i="7"/>
  <c r="Q9" i="7" s="1"/>
  <c r="L8" i="7"/>
  <c r="R8" i="7" s="1"/>
  <c r="K8" i="7"/>
  <c r="Q8" i="7" s="1"/>
  <c r="L7" i="7"/>
  <c r="R7" i="7" s="1"/>
  <c r="K7" i="7"/>
  <c r="Q7" i="7" s="1"/>
  <c r="L6" i="7"/>
  <c r="R6" i="7" s="1"/>
  <c r="K6" i="7"/>
  <c r="Q6" i="7" s="1"/>
  <c r="L4" i="7"/>
  <c r="R4" i="7" s="1"/>
  <c r="K4" i="7"/>
  <c r="Q4" i="7" s="1"/>
  <c r="K3" i="7"/>
  <c r="Q3" i="7" s="1"/>
  <c r="H24" i="6"/>
  <c r="E24" i="6"/>
  <c r="T23" i="6" s="1"/>
  <c r="Z23" i="6" s="1"/>
  <c r="W23" i="6"/>
  <c r="V23" i="6"/>
  <c r="S23" i="6"/>
  <c r="Y23" i="6" s="1"/>
  <c r="K23" i="6"/>
  <c r="J23" i="6"/>
  <c r="W22" i="6"/>
  <c r="V22" i="6"/>
  <c r="T22" i="6"/>
  <c r="Z22" i="6" s="1"/>
  <c r="S22" i="6"/>
  <c r="Y22" i="6" s="1"/>
  <c r="K22" i="6"/>
  <c r="J22" i="6"/>
  <c r="W21" i="6"/>
  <c r="V21" i="6"/>
  <c r="T21" i="6"/>
  <c r="Z21" i="6" s="1"/>
  <c r="S21" i="6"/>
  <c r="Y21" i="6" s="1"/>
  <c r="K21" i="6"/>
  <c r="J21" i="6"/>
  <c r="W20" i="6"/>
  <c r="V20" i="6"/>
  <c r="T20" i="6"/>
  <c r="Z20" i="6" s="1"/>
  <c r="S20" i="6"/>
  <c r="Y20" i="6" s="1"/>
  <c r="K20" i="6"/>
  <c r="J20" i="6"/>
  <c r="Z19" i="6"/>
  <c r="Y19" i="6"/>
  <c r="W19" i="6"/>
  <c r="V19" i="6"/>
  <c r="T19" i="6"/>
  <c r="S19" i="6"/>
  <c r="K19" i="6"/>
  <c r="J19" i="6"/>
  <c r="AF18" i="6"/>
  <c r="AE18" i="6"/>
  <c r="AF24" i="6" s="1"/>
  <c r="Z18" i="6"/>
  <c r="AC18" i="6" s="1"/>
  <c r="Y18" i="6"/>
  <c r="AB18" i="6" s="1"/>
  <c r="W18" i="6"/>
  <c r="V18" i="6"/>
  <c r="T18" i="6"/>
  <c r="S18" i="6"/>
  <c r="K18" i="6"/>
  <c r="J18" i="6"/>
  <c r="N24" i="6" s="1"/>
  <c r="W17" i="6"/>
  <c r="V17" i="6"/>
  <c r="T17" i="6"/>
  <c r="Z17" i="6" s="1"/>
  <c r="S17" i="6"/>
  <c r="Y17" i="6" s="1"/>
  <c r="K17" i="6"/>
  <c r="J17" i="6"/>
  <c r="W16" i="6"/>
  <c r="V16" i="6"/>
  <c r="W24" i="6" s="1"/>
  <c r="T16" i="6"/>
  <c r="Z16" i="6" s="1"/>
  <c r="AC16" i="6" s="1"/>
  <c r="S16" i="6"/>
  <c r="Y16" i="6" s="1"/>
  <c r="K16" i="6"/>
  <c r="J16" i="6"/>
  <c r="K24" i="6" s="1"/>
  <c r="N12" i="6"/>
  <c r="N8" i="6" s="1"/>
  <c r="Q8" i="6" s="1"/>
  <c r="AC8" i="6" s="1"/>
  <c r="H12" i="6"/>
  <c r="E12" i="6"/>
  <c r="AE11" i="6"/>
  <c r="Z11" i="6"/>
  <c r="Y11" i="6"/>
  <c r="W11" i="6"/>
  <c r="V11" i="6"/>
  <c r="T11" i="6"/>
  <c r="S11" i="6"/>
  <c r="K11" i="6"/>
  <c r="J11" i="6"/>
  <c r="W10" i="6"/>
  <c r="Z10" i="6" s="1"/>
  <c r="V10" i="6"/>
  <c r="Y10" i="6" s="1"/>
  <c r="T10" i="6"/>
  <c r="S10" i="6"/>
  <c r="K10" i="6"/>
  <c r="J10" i="6"/>
  <c r="W9" i="6"/>
  <c r="V9" i="6"/>
  <c r="T9" i="6"/>
  <c r="Z9" i="6" s="1"/>
  <c r="S9" i="6"/>
  <c r="Y9" i="6" s="1"/>
  <c r="K9" i="6"/>
  <c r="J9" i="6"/>
  <c r="W8" i="6"/>
  <c r="V8" i="6"/>
  <c r="T8" i="6"/>
  <c r="Z8" i="6" s="1"/>
  <c r="S8" i="6"/>
  <c r="Y8" i="6" s="1"/>
  <c r="K8" i="6"/>
  <c r="J8" i="6"/>
  <c r="Z7" i="6"/>
  <c r="Y7" i="6"/>
  <c r="W7" i="6"/>
  <c r="V7" i="6"/>
  <c r="T7" i="6"/>
  <c r="S7" i="6"/>
  <c r="K7" i="6"/>
  <c r="J7" i="6"/>
  <c r="AF6" i="6"/>
  <c r="AE6" i="6"/>
  <c r="AF12" i="6" s="1"/>
  <c r="Z6" i="6"/>
  <c r="AC6" i="6" s="1"/>
  <c r="Y6" i="6"/>
  <c r="AB6" i="6" s="1"/>
  <c r="W6" i="6"/>
  <c r="V6" i="6"/>
  <c r="T6" i="6"/>
  <c r="S6" i="6"/>
  <c r="K6" i="6"/>
  <c r="J6" i="6"/>
  <c r="W5" i="6"/>
  <c r="V5" i="6"/>
  <c r="W12" i="6" s="1"/>
  <c r="T5" i="6"/>
  <c r="Z5" i="6" s="1"/>
  <c r="S5" i="6"/>
  <c r="Y5" i="6" s="1"/>
  <c r="K5" i="6"/>
  <c r="J5" i="6"/>
  <c r="W4" i="6"/>
  <c r="V4" i="6"/>
  <c r="T4" i="6"/>
  <c r="Z4" i="6" s="1"/>
  <c r="S4" i="6"/>
  <c r="Y4" i="6" s="1"/>
  <c r="K4" i="6"/>
  <c r="J4" i="6"/>
  <c r="K12" i="6" s="1"/>
  <c r="K11" i="5"/>
  <c r="J11" i="5"/>
  <c r="K10" i="5"/>
  <c r="J10" i="5"/>
  <c r="K9" i="5"/>
  <c r="J9" i="5"/>
  <c r="K8" i="5"/>
  <c r="J8" i="5"/>
  <c r="K7" i="5"/>
  <c r="J7" i="5"/>
  <c r="K6" i="5"/>
  <c r="J6" i="5"/>
  <c r="N12" i="5" s="1"/>
  <c r="K5" i="5"/>
  <c r="J5" i="5"/>
  <c r="K4" i="5"/>
  <c r="J4" i="5"/>
  <c r="H24" i="5"/>
  <c r="H12" i="5"/>
  <c r="E24" i="5"/>
  <c r="T16" i="5" s="1"/>
  <c r="W23" i="5"/>
  <c r="V23" i="5"/>
  <c r="K23" i="5"/>
  <c r="J23" i="5"/>
  <c r="W22" i="5"/>
  <c r="V22" i="5"/>
  <c r="K22" i="5"/>
  <c r="J22" i="5"/>
  <c r="W21" i="5"/>
  <c r="V21" i="5"/>
  <c r="K21" i="5"/>
  <c r="J21" i="5"/>
  <c r="W20" i="5"/>
  <c r="V20" i="5"/>
  <c r="K20" i="5"/>
  <c r="J20" i="5"/>
  <c r="W19" i="5"/>
  <c r="V19" i="5"/>
  <c r="K19" i="5"/>
  <c r="J19" i="5"/>
  <c r="W18" i="5"/>
  <c r="V18" i="5"/>
  <c r="K18" i="5"/>
  <c r="J18" i="5"/>
  <c r="W17" i="5"/>
  <c r="V17" i="5"/>
  <c r="K17" i="5"/>
  <c r="J17" i="5"/>
  <c r="W16" i="5"/>
  <c r="V16" i="5"/>
  <c r="K16" i="5"/>
  <c r="J16" i="5"/>
  <c r="E12" i="5"/>
  <c r="S8" i="5" s="1"/>
  <c r="W11" i="5"/>
  <c r="V11" i="5"/>
  <c r="W10" i="5"/>
  <c r="V10" i="5"/>
  <c r="W9" i="5"/>
  <c r="V9" i="5"/>
  <c r="W8" i="5"/>
  <c r="V8" i="5"/>
  <c r="W7" i="5"/>
  <c r="V7" i="5"/>
  <c r="W6" i="5"/>
  <c r="V6" i="5"/>
  <c r="W5" i="5"/>
  <c r="V5" i="5"/>
  <c r="W4" i="5"/>
  <c r="V4" i="5"/>
  <c r="E23" i="4"/>
  <c r="D23" i="4"/>
  <c r="E22" i="4"/>
  <c r="D22" i="4"/>
  <c r="E21" i="4"/>
  <c r="D21" i="4"/>
  <c r="E20" i="4"/>
  <c r="D20" i="4"/>
  <c r="E19" i="4"/>
  <c r="D19" i="4"/>
  <c r="E18" i="4"/>
  <c r="D18" i="4"/>
  <c r="E17" i="4"/>
  <c r="D17" i="4"/>
  <c r="E16" i="4"/>
  <c r="D16" i="4"/>
  <c r="E24" i="4" s="1"/>
  <c r="E11" i="4"/>
  <c r="D11" i="4"/>
  <c r="E10" i="4"/>
  <c r="D10" i="4"/>
  <c r="E9" i="4"/>
  <c r="D9" i="4"/>
  <c r="E8" i="4"/>
  <c r="D8" i="4"/>
  <c r="E7" i="4"/>
  <c r="D7" i="4"/>
  <c r="E6" i="4"/>
  <c r="D6" i="4"/>
  <c r="H12" i="4" s="1"/>
  <c r="E5" i="4"/>
  <c r="D5" i="4"/>
  <c r="E4" i="4"/>
  <c r="D4" i="4"/>
  <c r="E12" i="4" s="1"/>
  <c r="Q24" i="4"/>
  <c r="AF23" i="4"/>
  <c r="AE23" i="4"/>
  <c r="T23" i="4"/>
  <c r="S23" i="4"/>
  <c r="AF22" i="4"/>
  <c r="AE22" i="4"/>
  <c r="T22" i="4"/>
  <c r="S22" i="4"/>
  <c r="AF21" i="4"/>
  <c r="AE21" i="4"/>
  <c r="AB21" i="4"/>
  <c r="AH21" i="4" s="1"/>
  <c r="T21" i="4"/>
  <c r="S21" i="4"/>
  <c r="AF20" i="4"/>
  <c r="AE20" i="4"/>
  <c r="T20" i="4"/>
  <c r="S20" i="4"/>
  <c r="AF19" i="4"/>
  <c r="AE19" i="4"/>
  <c r="T19" i="4"/>
  <c r="S19" i="4"/>
  <c r="AF18" i="4"/>
  <c r="AE18" i="4"/>
  <c r="T18" i="4"/>
  <c r="S18" i="4"/>
  <c r="AF17" i="4"/>
  <c r="AE17" i="4"/>
  <c r="T17" i="4"/>
  <c r="S17" i="4"/>
  <c r="AF16" i="4"/>
  <c r="AE16" i="4"/>
  <c r="T16" i="4"/>
  <c r="S16" i="4"/>
  <c r="Q12" i="4"/>
  <c r="AB9" i="4" s="1"/>
  <c r="AF11" i="4"/>
  <c r="AE11" i="4"/>
  <c r="T11" i="4"/>
  <c r="S11" i="4"/>
  <c r="AF10" i="4"/>
  <c r="AE10" i="4"/>
  <c r="T10" i="4"/>
  <c r="S10" i="4"/>
  <c r="AF9" i="4"/>
  <c r="AE9" i="4"/>
  <c r="T9" i="4"/>
  <c r="S9" i="4"/>
  <c r="AF8" i="4"/>
  <c r="AE8" i="4"/>
  <c r="T8" i="4"/>
  <c r="S8" i="4"/>
  <c r="AF7" i="4"/>
  <c r="AE7" i="4"/>
  <c r="T7" i="4"/>
  <c r="S7" i="4"/>
  <c r="AF6" i="4"/>
  <c r="AE6" i="4"/>
  <c r="T6" i="4"/>
  <c r="S6" i="4"/>
  <c r="AF5" i="4"/>
  <c r="AE5" i="4"/>
  <c r="T5" i="4"/>
  <c r="S5" i="4"/>
  <c r="AF4" i="4"/>
  <c r="AE4" i="4"/>
  <c r="T4" i="4"/>
  <c r="S4" i="4"/>
  <c r="E24" i="3"/>
  <c r="T23" i="3"/>
  <c r="S23" i="3"/>
  <c r="Q23" i="3"/>
  <c r="W23" i="3" s="1"/>
  <c r="P23" i="3"/>
  <c r="V23" i="3" s="1"/>
  <c r="H23" i="3"/>
  <c r="G23" i="3"/>
  <c r="T22" i="3"/>
  <c r="S22" i="3"/>
  <c r="P22" i="3"/>
  <c r="V22" i="3" s="1"/>
  <c r="H22" i="3"/>
  <c r="G22" i="3"/>
  <c r="T21" i="3"/>
  <c r="S21" i="3"/>
  <c r="P21" i="3"/>
  <c r="V21" i="3" s="1"/>
  <c r="H21" i="3"/>
  <c r="G21" i="3"/>
  <c r="T20" i="3"/>
  <c r="S20" i="3"/>
  <c r="Q20" i="3"/>
  <c r="W20" i="3" s="1"/>
  <c r="P20" i="3"/>
  <c r="V20" i="3" s="1"/>
  <c r="H20" i="3"/>
  <c r="G20" i="3"/>
  <c r="T19" i="3"/>
  <c r="S19" i="3"/>
  <c r="H19" i="3"/>
  <c r="G19" i="3"/>
  <c r="T18" i="3"/>
  <c r="S18" i="3"/>
  <c r="H18" i="3"/>
  <c r="G18" i="3"/>
  <c r="T17" i="3"/>
  <c r="S17" i="3"/>
  <c r="Q17" i="3"/>
  <c r="W17" i="3" s="1"/>
  <c r="H17" i="3"/>
  <c r="G17" i="3"/>
  <c r="T16" i="3"/>
  <c r="S16" i="3"/>
  <c r="T24" i="3" s="1"/>
  <c r="Q16" i="3"/>
  <c r="W16" i="3" s="1"/>
  <c r="P16" i="3"/>
  <c r="V16" i="3" s="1"/>
  <c r="H16" i="3"/>
  <c r="G16" i="3"/>
  <c r="E12" i="3"/>
  <c r="P9" i="3" s="1"/>
  <c r="T11" i="3"/>
  <c r="S11" i="3"/>
  <c r="H11" i="3"/>
  <c r="G11" i="3"/>
  <c r="T10" i="3"/>
  <c r="S10" i="3"/>
  <c r="H10" i="3"/>
  <c r="G10" i="3"/>
  <c r="T9" i="3"/>
  <c r="S9" i="3"/>
  <c r="Q9" i="3"/>
  <c r="W9" i="3" s="1"/>
  <c r="H9" i="3"/>
  <c r="G9" i="3"/>
  <c r="T8" i="3"/>
  <c r="S8" i="3"/>
  <c r="Q8" i="3"/>
  <c r="W8" i="3" s="1"/>
  <c r="P8" i="3"/>
  <c r="V8" i="3" s="1"/>
  <c r="H8" i="3"/>
  <c r="G8" i="3"/>
  <c r="T7" i="3"/>
  <c r="S7" i="3"/>
  <c r="Q7" i="3"/>
  <c r="W7" i="3" s="1"/>
  <c r="P7" i="3"/>
  <c r="V7" i="3" s="1"/>
  <c r="H7" i="3"/>
  <c r="G7" i="3"/>
  <c r="T6" i="3"/>
  <c r="S6" i="3"/>
  <c r="Q6" i="3"/>
  <c r="P6" i="3"/>
  <c r="V6" i="3" s="1"/>
  <c r="Y6" i="3" s="1"/>
  <c r="H6" i="3"/>
  <c r="G6" i="3"/>
  <c r="K12" i="3" s="1"/>
  <c r="T5" i="3"/>
  <c r="S5" i="3"/>
  <c r="K5" i="3"/>
  <c r="J5" i="3"/>
  <c r="H5" i="3"/>
  <c r="G5" i="3"/>
  <c r="M5" i="3" s="1"/>
  <c r="T4" i="3"/>
  <c r="S4" i="3"/>
  <c r="H4" i="3"/>
  <c r="G4" i="3"/>
  <c r="H12" i="3" s="1"/>
  <c r="T23" i="2"/>
  <c r="S23" i="2"/>
  <c r="T22" i="2"/>
  <c r="S22" i="2"/>
  <c r="T21" i="2"/>
  <c r="S21" i="2"/>
  <c r="T20" i="2"/>
  <c r="S20" i="2"/>
  <c r="T19" i="2"/>
  <c r="S19" i="2"/>
  <c r="T18" i="2"/>
  <c r="S18" i="2"/>
  <c r="T17" i="2"/>
  <c r="S17" i="2"/>
  <c r="T16" i="2"/>
  <c r="S16" i="2"/>
  <c r="T11" i="2"/>
  <c r="S11" i="2"/>
  <c r="T10" i="2"/>
  <c r="S10" i="2"/>
  <c r="T9" i="2"/>
  <c r="S9" i="2"/>
  <c r="T8" i="2"/>
  <c r="S8" i="2"/>
  <c r="T7" i="2"/>
  <c r="S7" i="2"/>
  <c r="T6" i="2"/>
  <c r="S6" i="2"/>
  <c r="T5" i="2"/>
  <c r="S5" i="2"/>
  <c r="T4" i="2"/>
  <c r="S4" i="2"/>
  <c r="H23" i="2"/>
  <c r="G23" i="2"/>
  <c r="H22" i="2"/>
  <c r="G22" i="2"/>
  <c r="H21" i="2"/>
  <c r="G21" i="2"/>
  <c r="H20" i="2"/>
  <c r="G20" i="2"/>
  <c r="H19" i="2"/>
  <c r="G19" i="2"/>
  <c r="H18" i="2"/>
  <c r="G18" i="2"/>
  <c r="H17" i="2"/>
  <c r="G17" i="2"/>
  <c r="H16" i="2"/>
  <c r="G16" i="2"/>
  <c r="H11" i="2"/>
  <c r="G11" i="2"/>
  <c r="H10" i="2"/>
  <c r="G10" i="2"/>
  <c r="H9" i="2"/>
  <c r="G9" i="2"/>
  <c r="H8" i="2"/>
  <c r="G8" i="2"/>
  <c r="H7" i="2"/>
  <c r="G7" i="2"/>
  <c r="H6" i="2"/>
  <c r="G6" i="2"/>
  <c r="H5" i="2"/>
  <c r="G5" i="2"/>
  <c r="H4" i="2"/>
  <c r="G4" i="2"/>
  <c r="E24" i="2"/>
  <c r="P23" i="2" s="1"/>
  <c r="V23" i="2" s="1"/>
  <c r="E12" i="2"/>
  <c r="H23" i="1"/>
  <c r="K22" i="1" s="1"/>
  <c r="Q22" i="1" s="1"/>
  <c r="T22" i="1" s="1"/>
  <c r="H12" i="1"/>
  <c r="J11" i="1" s="1"/>
  <c r="P11" i="1" s="1"/>
  <c r="S11" i="1" s="1"/>
  <c r="N12" i="1"/>
  <c r="N23" i="1"/>
  <c r="E23" i="1"/>
  <c r="E12" i="1"/>
  <c r="J17" i="17" l="1"/>
  <c r="J16" i="17"/>
  <c r="J15" i="17"/>
  <c r="J14" i="17"/>
  <c r="J13" i="17"/>
  <c r="J12" i="17"/>
  <c r="J11" i="17"/>
  <c r="J10" i="17"/>
  <c r="J9" i="17"/>
  <c r="J8" i="17"/>
  <c r="J6" i="17"/>
  <c r="J5" i="17"/>
  <c r="J10" i="16"/>
  <c r="R10" i="16" s="1"/>
  <c r="L15" i="16"/>
  <c r="Q14" i="16"/>
  <c r="O15" i="16" s="1"/>
  <c r="Q27" i="16"/>
  <c r="O28" i="16" s="1"/>
  <c r="G15" i="13"/>
  <c r="I5" i="13"/>
  <c r="Q5" i="13" s="1"/>
  <c r="J5" i="13"/>
  <c r="R5" i="13" s="1"/>
  <c r="I10" i="13"/>
  <c r="Q10" i="13" s="1"/>
  <c r="J10" i="13"/>
  <c r="R10" i="13" s="1"/>
  <c r="J17" i="14"/>
  <c r="O17" i="14" s="1"/>
  <c r="I8" i="13"/>
  <c r="Q8" i="13" s="1"/>
  <c r="I12" i="13"/>
  <c r="Q12" i="13" s="1"/>
  <c r="J8" i="13"/>
  <c r="R8" i="13" s="1"/>
  <c r="J12" i="13"/>
  <c r="R12" i="13" s="1"/>
  <c r="L15" i="13"/>
  <c r="I9" i="13"/>
  <c r="Q9" i="13" s="1"/>
  <c r="J11" i="13"/>
  <c r="R11" i="13" s="1"/>
  <c r="J9" i="13"/>
  <c r="R9" i="13" s="1"/>
  <c r="I6" i="13"/>
  <c r="Q6" i="13" s="1"/>
  <c r="I7" i="13"/>
  <c r="Q7" i="13" s="1"/>
  <c r="J7" i="13"/>
  <c r="R7" i="13" s="1"/>
  <c r="Q27" i="13"/>
  <c r="O28" i="13" s="1"/>
  <c r="G26" i="11"/>
  <c r="J11" i="11"/>
  <c r="R11" i="11" s="1"/>
  <c r="J7" i="11"/>
  <c r="R7" i="11" s="1"/>
  <c r="J10" i="11"/>
  <c r="R10" i="11" s="1"/>
  <c r="I11" i="11"/>
  <c r="Q11" i="11" s="1"/>
  <c r="I7" i="11"/>
  <c r="Q7" i="11" s="1"/>
  <c r="I10" i="11"/>
  <c r="Q10" i="11" s="1"/>
  <c r="I6" i="11"/>
  <c r="Q6" i="11" s="1"/>
  <c r="J8" i="11"/>
  <c r="R8" i="11" s="1"/>
  <c r="L14" i="11"/>
  <c r="J5" i="11"/>
  <c r="R5" i="11" s="1"/>
  <c r="J6" i="11"/>
  <c r="R6" i="11" s="1"/>
  <c r="J9" i="11"/>
  <c r="R9" i="11" s="1"/>
  <c r="I5" i="11"/>
  <c r="Q5" i="11" s="1"/>
  <c r="I9" i="11"/>
  <c r="Q9" i="11" s="1"/>
  <c r="I8" i="11"/>
  <c r="Q8" i="11" s="1"/>
  <c r="G14" i="11"/>
  <c r="I22" i="11"/>
  <c r="Q22" i="11" s="1"/>
  <c r="I18" i="11"/>
  <c r="Q18" i="11" s="1"/>
  <c r="L26" i="11"/>
  <c r="I17" i="11"/>
  <c r="Q17" i="11" s="1"/>
  <c r="J20" i="11"/>
  <c r="R20" i="11" s="1"/>
  <c r="I20" i="11"/>
  <c r="Q20" i="11" s="1"/>
  <c r="J23" i="11"/>
  <c r="R23" i="11" s="1"/>
  <c r="I23" i="11"/>
  <c r="Q23" i="11" s="1"/>
  <c r="J18" i="11"/>
  <c r="R18" i="11" s="1"/>
  <c r="J21" i="11"/>
  <c r="R21" i="11" s="1"/>
  <c r="J17" i="11"/>
  <c r="R17" i="11" s="1"/>
  <c r="I21" i="11"/>
  <c r="Q21" i="11" s="1"/>
  <c r="J19" i="11"/>
  <c r="R19" i="11" s="1"/>
  <c r="I19" i="11"/>
  <c r="Q19" i="11" s="1"/>
  <c r="J22" i="11"/>
  <c r="R22" i="11" s="1"/>
  <c r="I8" i="9"/>
  <c r="Q8" i="9" s="1"/>
  <c r="I9" i="9"/>
  <c r="Q9" i="9" s="1"/>
  <c r="J10" i="9"/>
  <c r="R10" i="9" s="1"/>
  <c r="J8" i="9"/>
  <c r="R8" i="9" s="1"/>
  <c r="I10" i="9"/>
  <c r="Q10" i="9" s="1"/>
  <c r="I22" i="9"/>
  <c r="Q22" i="9" s="1"/>
  <c r="J24" i="9"/>
  <c r="I24" i="9"/>
  <c r="Q24" i="9" s="1"/>
  <c r="I25" i="9"/>
  <c r="Q25" i="9" s="1"/>
  <c r="J23" i="9"/>
  <c r="R23" i="9" s="1"/>
  <c r="J25" i="9"/>
  <c r="R25" i="9" s="1"/>
  <c r="I18" i="9"/>
  <c r="Q18" i="9" s="1"/>
  <c r="Q23" i="9"/>
  <c r="I11" i="9"/>
  <c r="Q11" i="9" s="1"/>
  <c r="R24" i="9"/>
  <c r="I5" i="9"/>
  <c r="Q5" i="9" s="1"/>
  <c r="I12" i="9"/>
  <c r="Q12" i="9" s="1"/>
  <c r="J11" i="9"/>
  <c r="R11" i="9" s="1"/>
  <c r="J12" i="9"/>
  <c r="R12" i="9" s="1"/>
  <c r="L15" i="9"/>
  <c r="I6" i="9"/>
  <c r="Q6" i="9" s="1"/>
  <c r="R18" i="9"/>
  <c r="J6" i="9"/>
  <c r="R6" i="9" s="1"/>
  <c r="Q19" i="9"/>
  <c r="J5" i="9"/>
  <c r="R5" i="9" s="1"/>
  <c r="I7" i="9"/>
  <c r="Q7" i="9" s="1"/>
  <c r="R19" i="9"/>
  <c r="J7" i="9"/>
  <c r="R7" i="9" s="1"/>
  <c r="Q20" i="9"/>
  <c r="L27" i="8"/>
  <c r="J28" i="8" s="1"/>
  <c r="O28" i="8" s="1"/>
  <c r="J15" i="8"/>
  <c r="O15" i="8" s="1"/>
  <c r="K12" i="7"/>
  <c r="Q12" i="7" s="1"/>
  <c r="M21" i="6"/>
  <c r="N22" i="6"/>
  <c r="Q22" i="6" s="1"/>
  <c r="AC22" i="6" s="1"/>
  <c r="M22" i="6"/>
  <c r="P22" i="6" s="1"/>
  <c r="AB22" i="6" s="1"/>
  <c r="N23" i="6"/>
  <c r="M23" i="6"/>
  <c r="P23" i="6" s="1"/>
  <c r="AB23" i="6" s="1"/>
  <c r="N17" i="6"/>
  <c r="Q17" i="6" s="1"/>
  <c r="AC17" i="6" s="1"/>
  <c r="M17" i="6"/>
  <c r="P17" i="6" s="1"/>
  <c r="N20" i="6"/>
  <c r="Q20" i="6" s="1"/>
  <c r="AC20" i="6" s="1"/>
  <c r="N16" i="6"/>
  <c r="N18" i="6"/>
  <c r="N19" i="6"/>
  <c r="Q19" i="6" s="1"/>
  <c r="AC19" i="6" s="1"/>
  <c r="M19" i="6"/>
  <c r="P19" i="6" s="1"/>
  <c r="AB19" i="6" s="1"/>
  <c r="M20" i="6"/>
  <c r="M18" i="6"/>
  <c r="N21" i="6"/>
  <c r="M16" i="6"/>
  <c r="P20" i="6"/>
  <c r="AB20" i="6" s="1"/>
  <c r="Q23" i="6"/>
  <c r="AC23" i="6" s="1"/>
  <c r="Z24" i="6"/>
  <c r="AB16" i="6"/>
  <c r="P21" i="6"/>
  <c r="AB21" i="6" s="1"/>
  <c r="Q21" i="6"/>
  <c r="AC21" i="6" s="1"/>
  <c r="Z12" i="6"/>
  <c r="N11" i="6"/>
  <c r="Q11" i="6" s="1"/>
  <c r="AC11" i="6" s="1"/>
  <c r="N10" i="6"/>
  <c r="Q10" i="6" s="1"/>
  <c r="AC10" i="6" s="1"/>
  <c r="M7" i="6"/>
  <c r="P7" i="6" s="1"/>
  <c r="AB7" i="6" s="1"/>
  <c r="N6" i="6"/>
  <c r="M5" i="6"/>
  <c r="P5" i="6" s="1"/>
  <c r="AB5" i="6" s="1"/>
  <c r="N5" i="6"/>
  <c r="Q5" i="6" s="1"/>
  <c r="AC5" i="6" s="1"/>
  <c r="M4" i="6"/>
  <c r="P4" i="6" s="1"/>
  <c r="M11" i="6"/>
  <c r="P11" i="6" s="1"/>
  <c r="AB11" i="6" s="1"/>
  <c r="N7" i="6"/>
  <c r="Q7" i="6" s="1"/>
  <c r="AC7" i="6" s="1"/>
  <c r="M6" i="6"/>
  <c r="N4" i="6"/>
  <c r="Q4" i="6" s="1"/>
  <c r="AC4" i="6" s="1"/>
  <c r="M10" i="6"/>
  <c r="P10" i="6" s="1"/>
  <c r="AB10" i="6" s="1"/>
  <c r="M9" i="6"/>
  <c r="P9" i="6" s="1"/>
  <c r="AB9" i="6" s="1"/>
  <c r="N9" i="6"/>
  <c r="Q9" i="6" s="1"/>
  <c r="AC9" i="6" s="1"/>
  <c r="M8" i="6"/>
  <c r="P8" i="6" s="1"/>
  <c r="AB8" i="6" s="1"/>
  <c r="K11" i="2"/>
  <c r="Q9" i="2"/>
  <c r="P9" i="2"/>
  <c r="Q8" i="2"/>
  <c r="P8" i="2"/>
  <c r="Q7" i="2"/>
  <c r="P7" i="2"/>
  <c r="Q6" i="2"/>
  <c r="P6" i="2"/>
  <c r="Q5" i="2"/>
  <c r="P5" i="2"/>
  <c r="Q4" i="2"/>
  <c r="P4" i="2"/>
  <c r="N11" i="2"/>
  <c r="K7" i="3"/>
  <c r="N7" i="3" s="1"/>
  <c r="Z7" i="3" s="1"/>
  <c r="K6" i="3"/>
  <c r="J6" i="3"/>
  <c r="T12" i="3"/>
  <c r="V9" i="3"/>
  <c r="K24" i="3"/>
  <c r="J22" i="3"/>
  <c r="M22" i="3" s="1"/>
  <c r="AB17" i="4"/>
  <c r="M19" i="4"/>
  <c r="N24" i="5"/>
  <c r="N23" i="5"/>
  <c r="Q23" i="5" s="1"/>
  <c r="M16" i="5"/>
  <c r="N16" i="5"/>
  <c r="M20" i="5"/>
  <c r="N20" i="5"/>
  <c r="Q20" i="5" s="1"/>
  <c r="N21" i="5"/>
  <c r="Q21" i="5" s="1"/>
  <c r="N17" i="5"/>
  <c r="M17" i="5"/>
  <c r="P17" i="5" s="1"/>
  <c r="M18" i="5"/>
  <c r="N18" i="5"/>
  <c r="M19" i="5"/>
  <c r="P19" i="5" s="1"/>
  <c r="N19" i="5"/>
  <c r="Q19" i="5" s="1"/>
  <c r="M21" i="5"/>
  <c r="M22" i="5"/>
  <c r="P22" i="5" s="1"/>
  <c r="N22" i="5"/>
  <c r="M23" i="5"/>
  <c r="P23" i="5" s="1"/>
  <c r="M4" i="5"/>
  <c r="N4" i="5"/>
  <c r="M5" i="5"/>
  <c r="N5" i="5"/>
  <c r="Q5" i="5" s="1"/>
  <c r="N6" i="5"/>
  <c r="M7" i="5"/>
  <c r="N7" i="5"/>
  <c r="Q7" i="5" s="1"/>
  <c r="M8" i="5"/>
  <c r="P8" i="5" s="1"/>
  <c r="N9" i="5"/>
  <c r="Q9" i="5" s="1"/>
  <c r="N10" i="5"/>
  <c r="Q10" i="5" s="1"/>
  <c r="M11" i="5"/>
  <c r="N11" i="5"/>
  <c r="Q11" i="5" s="1"/>
  <c r="M6" i="5"/>
  <c r="N8" i="5"/>
  <c r="Q8" i="5" s="1"/>
  <c r="M9" i="5"/>
  <c r="P9" i="5" s="1"/>
  <c r="M10" i="5"/>
  <c r="P4" i="5"/>
  <c r="Q4" i="5"/>
  <c r="P5" i="5"/>
  <c r="P7" i="5"/>
  <c r="P10" i="5"/>
  <c r="P20" i="5"/>
  <c r="P11" i="5"/>
  <c r="Q17" i="5"/>
  <c r="P21" i="5"/>
  <c r="Q22" i="5"/>
  <c r="Y8" i="5"/>
  <c r="S20" i="5"/>
  <c r="Y20" i="5" s="1"/>
  <c r="T23" i="5"/>
  <c r="Z23" i="5" s="1"/>
  <c r="S22" i="5"/>
  <c r="Y22" i="5" s="1"/>
  <c r="T22" i="5"/>
  <c r="Z22" i="5" s="1"/>
  <c r="AC22" i="5" s="1"/>
  <c r="T20" i="5"/>
  <c r="Z20" i="5" s="1"/>
  <c r="S6" i="5"/>
  <c r="Y6" i="5" s="1"/>
  <c r="AB6" i="5" s="1"/>
  <c r="W24" i="5"/>
  <c r="T6" i="5"/>
  <c r="Z6" i="5" s="1"/>
  <c r="AC6" i="5" s="1"/>
  <c r="K12" i="5"/>
  <c r="Z16" i="5"/>
  <c r="AC16" i="5" s="1"/>
  <c r="S7" i="5"/>
  <c r="Y7" i="5" s="1"/>
  <c r="S21" i="5"/>
  <c r="Y21" i="5" s="1"/>
  <c r="W12" i="5"/>
  <c r="T21" i="5"/>
  <c r="Z21" i="5" s="1"/>
  <c r="T8" i="5"/>
  <c r="Z8" i="5" s="1"/>
  <c r="S23" i="5"/>
  <c r="Y23" i="5" s="1"/>
  <c r="T7" i="5"/>
  <c r="Z7" i="5" s="1"/>
  <c r="S5" i="5"/>
  <c r="Y5" i="5" s="1"/>
  <c r="AB5" i="5" s="1"/>
  <c r="T5" i="5"/>
  <c r="Z5" i="5" s="1"/>
  <c r="S4" i="5"/>
  <c r="Y4" i="5" s="1"/>
  <c r="T4" i="5"/>
  <c r="Z4" i="5" s="1"/>
  <c r="S18" i="5"/>
  <c r="Y18" i="5" s="1"/>
  <c r="AB18" i="5" s="1"/>
  <c r="T18" i="5"/>
  <c r="Z18" i="5" s="1"/>
  <c r="AC18" i="5" s="1"/>
  <c r="T19" i="5"/>
  <c r="Z19" i="5" s="1"/>
  <c r="S10" i="5"/>
  <c r="Y10" i="5" s="1"/>
  <c r="T10" i="5"/>
  <c r="Z10" i="5" s="1"/>
  <c r="S17" i="5"/>
  <c r="Y17" i="5" s="1"/>
  <c r="S9" i="5"/>
  <c r="Y9" i="5" s="1"/>
  <c r="T17" i="5"/>
  <c r="Z17" i="5" s="1"/>
  <c r="S19" i="5"/>
  <c r="Y19" i="5" s="1"/>
  <c r="S11" i="5"/>
  <c r="Y11" i="5" s="1"/>
  <c r="K24" i="5"/>
  <c r="T11" i="5"/>
  <c r="Z11" i="5" s="1"/>
  <c r="T9" i="5"/>
  <c r="Z9" i="5" s="1"/>
  <c r="S16" i="5"/>
  <c r="Y16" i="5" s="1"/>
  <c r="W12" i="4"/>
  <c r="AB16" i="4"/>
  <c r="H8" i="4"/>
  <c r="K8" i="4" s="1"/>
  <c r="AH16" i="4"/>
  <c r="AK16" i="4" s="1"/>
  <c r="AB22" i="4"/>
  <c r="AH22" i="4" s="1"/>
  <c r="AC22" i="4"/>
  <c r="AI22" i="4" s="1"/>
  <c r="M21" i="4"/>
  <c r="AC20" i="4"/>
  <c r="AI20" i="4" s="1"/>
  <c r="M18" i="4"/>
  <c r="N22" i="4"/>
  <c r="AB18" i="4"/>
  <c r="AH18" i="4" s="1"/>
  <c r="AK18" i="4" s="1"/>
  <c r="AC23" i="4"/>
  <c r="AI23" i="4" s="1"/>
  <c r="AC21" i="4"/>
  <c r="AI21" i="4" s="1"/>
  <c r="AC16" i="4"/>
  <c r="AI16" i="4" s="1"/>
  <c r="AL16" i="4" s="1"/>
  <c r="M20" i="4"/>
  <c r="AB19" i="4"/>
  <c r="AH19" i="4" s="1"/>
  <c r="N20" i="4"/>
  <c r="M17" i="4"/>
  <c r="N17" i="4"/>
  <c r="AC17" i="4"/>
  <c r="AI17" i="4" s="1"/>
  <c r="N21" i="4"/>
  <c r="AB20" i="4"/>
  <c r="AH20" i="4" s="1"/>
  <c r="W24" i="4"/>
  <c r="W23" i="4" s="1"/>
  <c r="Z23" i="4" s="1"/>
  <c r="M22" i="4"/>
  <c r="AB23" i="4"/>
  <c r="N18" i="4"/>
  <c r="G9" i="4"/>
  <c r="J9" i="4" s="1"/>
  <c r="G11" i="4"/>
  <c r="J11" i="4" s="1"/>
  <c r="H22" i="4"/>
  <c r="K22" i="4" s="1"/>
  <c r="AH23" i="4"/>
  <c r="G7" i="4"/>
  <c r="J7" i="4" s="1"/>
  <c r="H6" i="4"/>
  <c r="G4" i="4"/>
  <c r="J4" i="4" s="1"/>
  <c r="K12" i="4" s="1"/>
  <c r="H24" i="4"/>
  <c r="H10" i="4"/>
  <c r="K10" i="4" s="1"/>
  <c r="N19" i="4"/>
  <c r="H4" i="4"/>
  <c r="K4" i="4" s="1"/>
  <c r="G10" i="4"/>
  <c r="J10" i="4" s="1"/>
  <c r="G8" i="4"/>
  <c r="J8" i="4" s="1"/>
  <c r="M16" i="4"/>
  <c r="M23" i="4"/>
  <c r="G6" i="4"/>
  <c r="AH9" i="4"/>
  <c r="G16" i="4"/>
  <c r="N16" i="4"/>
  <c r="N23" i="4"/>
  <c r="H7" i="4"/>
  <c r="K7" i="4" s="1"/>
  <c r="H9" i="4"/>
  <c r="K9" i="4" s="1"/>
  <c r="H11" i="4"/>
  <c r="K11" i="4" s="1"/>
  <c r="G5" i="4"/>
  <c r="J5" i="4" s="1"/>
  <c r="H5" i="4"/>
  <c r="K5" i="4" s="1"/>
  <c r="W16" i="4"/>
  <c r="W21" i="4"/>
  <c r="Z21" i="4" s="1"/>
  <c r="AH17" i="4"/>
  <c r="G20" i="4"/>
  <c r="J20" i="4" s="1"/>
  <c r="AB7" i="4"/>
  <c r="AH7" i="4" s="1"/>
  <c r="AC7" i="4"/>
  <c r="AI7" i="4" s="1"/>
  <c r="AC6" i="4"/>
  <c r="AI6" i="4" s="1"/>
  <c r="AL6" i="4" s="1"/>
  <c r="AB6" i="4"/>
  <c r="AH6" i="4" s="1"/>
  <c r="AK6" i="4" s="1"/>
  <c r="AC9" i="4"/>
  <c r="AI9" i="4" s="1"/>
  <c r="V6" i="4"/>
  <c r="W8" i="4"/>
  <c r="Z8" i="4" s="1"/>
  <c r="V8" i="4"/>
  <c r="Y8" i="4" s="1"/>
  <c r="W9" i="4"/>
  <c r="Z9" i="4" s="1"/>
  <c r="V9" i="4"/>
  <c r="Y9" i="4" s="1"/>
  <c r="W10" i="4"/>
  <c r="Z10" i="4" s="1"/>
  <c r="V10" i="4"/>
  <c r="Y10" i="4" s="1"/>
  <c r="W11" i="4"/>
  <c r="Z11" i="4" s="1"/>
  <c r="V11" i="4"/>
  <c r="Y11" i="4" s="1"/>
  <c r="W7" i="4"/>
  <c r="Z7" i="4" s="1"/>
  <c r="V7" i="4"/>
  <c r="Y7" i="4" s="1"/>
  <c r="W5" i="4"/>
  <c r="Z5" i="4" s="1"/>
  <c r="V5" i="4"/>
  <c r="Y5" i="4" s="1"/>
  <c r="W4" i="4"/>
  <c r="Z4" i="4" s="1"/>
  <c r="W6" i="4"/>
  <c r="V4" i="4"/>
  <c r="Y4" i="4" s="1"/>
  <c r="AB8" i="4"/>
  <c r="AH8" i="4" s="1"/>
  <c r="AC10" i="4"/>
  <c r="AI10" i="4" s="1"/>
  <c r="AB10" i="4"/>
  <c r="AH10" i="4" s="1"/>
  <c r="AC11" i="4"/>
  <c r="AI11" i="4" s="1"/>
  <c r="AB11" i="4"/>
  <c r="AH11" i="4" s="1"/>
  <c r="AC4" i="4"/>
  <c r="AI4" i="4" s="1"/>
  <c r="AB4" i="4"/>
  <c r="AH4" i="4" s="1"/>
  <c r="AC5" i="4"/>
  <c r="AI5" i="4" s="1"/>
  <c r="AB5" i="4"/>
  <c r="AH5" i="4" s="1"/>
  <c r="AF12" i="4"/>
  <c r="T12" i="4"/>
  <c r="AC8" i="4"/>
  <c r="AI8" i="4" s="1"/>
  <c r="AF24" i="4"/>
  <c r="W20" i="4"/>
  <c r="Z20" i="4" s="1"/>
  <c r="AL20" i="4" s="1"/>
  <c r="AC18" i="4"/>
  <c r="AI18" i="4" s="1"/>
  <c r="AL18" i="4" s="1"/>
  <c r="AC19" i="4"/>
  <c r="AI19" i="4" s="1"/>
  <c r="T24" i="4"/>
  <c r="N5" i="3"/>
  <c r="K21" i="3"/>
  <c r="N21" i="3" s="1"/>
  <c r="K19" i="3"/>
  <c r="N19" i="3" s="1"/>
  <c r="Q21" i="3"/>
  <c r="W21" i="3" s="1"/>
  <c r="Y22" i="3"/>
  <c r="Q22" i="3"/>
  <c r="W22" i="3" s="1"/>
  <c r="J4" i="3"/>
  <c r="M4" i="3"/>
  <c r="J11" i="3"/>
  <c r="M11" i="3" s="1"/>
  <c r="W6" i="3"/>
  <c r="Z6" i="3" s="1"/>
  <c r="K11" i="3"/>
  <c r="N11" i="3" s="1"/>
  <c r="P5" i="3"/>
  <c r="V5" i="3" s="1"/>
  <c r="Y5" i="3" s="1"/>
  <c r="J10" i="3"/>
  <c r="M10" i="3" s="1"/>
  <c r="P19" i="3"/>
  <c r="V19" i="3" s="1"/>
  <c r="Q4" i="3"/>
  <c r="W4" i="3" s="1"/>
  <c r="K18" i="3"/>
  <c r="J9" i="3"/>
  <c r="M9" i="3" s="1"/>
  <c r="Y9" i="3" s="1"/>
  <c r="P11" i="3"/>
  <c r="J17" i="3"/>
  <c r="M17" i="3" s="1"/>
  <c r="P18" i="3"/>
  <c r="V18" i="3" s="1"/>
  <c r="Y18" i="3" s="1"/>
  <c r="Q5" i="3"/>
  <c r="W5" i="3" s="1"/>
  <c r="Z5" i="3" s="1"/>
  <c r="K10" i="3"/>
  <c r="N10" i="3" s="1"/>
  <c r="Q19" i="3"/>
  <c r="W19" i="3" s="1"/>
  <c r="H24" i="3"/>
  <c r="K9" i="3"/>
  <c r="N9" i="3" s="1"/>
  <c r="Z9" i="3" s="1"/>
  <c r="Q11" i="3"/>
  <c r="W11" i="3" s="1"/>
  <c r="K17" i="3"/>
  <c r="N17" i="3" s="1"/>
  <c r="Z17" i="3" s="1"/>
  <c r="Q18" i="3"/>
  <c r="W18" i="3" s="1"/>
  <c r="Z18" i="3" s="1"/>
  <c r="K4" i="3"/>
  <c r="N4" i="3" s="1"/>
  <c r="Z4" i="3" s="1"/>
  <c r="P4" i="3"/>
  <c r="V4" i="3" s="1"/>
  <c r="J18" i="3"/>
  <c r="J8" i="3"/>
  <c r="M8" i="3" s="1"/>
  <c r="Y8" i="3" s="1"/>
  <c r="K8" i="3"/>
  <c r="N8" i="3" s="1"/>
  <c r="Z8" i="3" s="1"/>
  <c r="Q10" i="3"/>
  <c r="W10" i="3" s="1"/>
  <c r="K16" i="3"/>
  <c r="Z16" i="3" s="1"/>
  <c r="K23" i="3"/>
  <c r="N23" i="3" s="1"/>
  <c r="Z23" i="3" s="1"/>
  <c r="P10" i="3"/>
  <c r="V10" i="3" s="1"/>
  <c r="J16" i="3"/>
  <c r="J23" i="3"/>
  <c r="M23" i="3" s="1"/>
  <c r="Y23" i="3" s="1"/>
  <c r="J7" i="3"/>
  <c r="M7" i="3" s="1"/>
  <c r="Y7" i="3" s="1"/>
  <c r="P17" i="3"/>
  <c r="V17" i="3" s="1"/>
  <c r="K20" i="2"/>
  <c r="N20" i="2" s="1"/>
  <c r="Q23" i="2"/>
  <c r="K22" i="2"/>
  <c r="N22" i="2" s="1"/>
  <c r="Q17" i="2"/>
  <c r="P18" i="2"/>
  <c r="K17" i="2"/>
  <c r="N17" i="2" s="1"/>
  <c r="K18" i="2"/>
  <c r="Q21" i="2"/>
  <c r="J19" i="2"/>
  <c r="M19" i="2" s="1"/>
  <c r="K19" i="2"/>
  <c r="N19" i="2" s="1"/>
  <c r="Q22" i="2"/>
  <c r="J21" i="2"/>
  <c r="M21" i="2" s="1"/>
  <c r="P16" i="2"/>
  <c r="V16" i="2" s="1"/>
  <c r="K21" i="2"/>
  <c r="N21" i="2" s="1"/>
  <c r="Q16" i="2"/>
  <c r="W16" i="2" s="1"/>
  <c r="J22" i="2"/>
  <c r="M22" i="2" s="1"/>
  <c r="P17" i="2"/>
  <c r="V17" i="2" s="1"/>
  <c r="J23" i="2"/>
  <c r="M23" i="2" s="1"/>
  <c r="Y23" i="2" s="1"/>
  <c r="K23" i="2"/>
  <c r="N23" i="2" s="1"/>
  <c r="Q18" i="2"/>
  <c r="P19" i="2"/>
  <c r="K16" i="2"/>
  <c r="N16" i="2" s="1"/>
  <c r="Q19" i="2"/>
  <c r="J17" i="2"/>
  <c r="M17" i="2" s="1"/>
  <c r="P20" i="2"/>
  <c r="Q20" i="2"/>
  <c r="J18" i="2"/>
  <c r="P21" i="2"/>
  <c r="P22" i="2"/>
  <c r="J20" i="2"/>
  <c r="M20" i="2" s="1"/>
  <c r="P10" i="2"/>
  <c r="Q10" i="2"/>
  <c r="P11" i="2"/>
  <c r="Q11" i="2"/>
  <c r="K4" i="2"/>
  <c r="N4" i="2" s="1"/>
  <c r="J5" i="2"/>
  <c r="M5" i="2" s="1"/>
  <c r="J7" i="2"/>
  <c r="M7" i="2" s="1"/>
  <c r="K7" i="2"/>
  <c r="N7" i="2" s="1"/>
  <c r="J6" i="2"/>
  <c r="J8" i="2"/>
  <c r="M8" i="2" s="1"/>
  <c r="K5" i="2"/>
  <c r="N5" i="2" s="1"/>
  <c r="K6" i="2"/>
  <c r="K8" i="2"/>
  <c r="N8" i="2" s="1"/>
  <c r="H24" i="2"/>
  <c r="T12" i="2"/>
  <c r="J9" i="2"/>
  <c r="M9" i="2" s="1"/>
  <c r="K9" i="2"/>
  <c r="N9" i="2" s="1"/>
  <c r="J10" i="2"/>
  <c r="M10" i="2" s="1"/>
  <c r="K10" i="2"/>
  <c r="N10" i="2" s="1"/>
  <c r="J11" i="2"/>
  <c r="M11" i="2" s="1"/>
  <c r="T24" i="2"/>
  <c r="H12" i="2"/>
  <c r="W17" i="2"/>
  <c r="V18" i="2"/>
  <c r="Y18" i="2" s="1"/>
  <c r="W18" i="2"/>
  <c r="Z18" i="2" s="1"/>
  <c r="V19" i="2"/>
  <c r="W19" i="2"/>
  <c r="K9" i="1"/>
  <c r="Q9" i="1" s="1"/>
  <c r="T9" i="1" s="1"/>
  <c r="J9" i="1"/>
  <c r="P9" i="1" s="1"/>
  <c r="S9" i="1" s="1"/>
  <c r="J10" i="1"/>
  <c r="P10" i="1" s="1"/>
  <c r="S10" i="1" s="1"/>
  <c r="K10" i="1"/>
  <c r="Q10" i="1" s="1"/>
  <c r="T10" i="1" s="1"/>
  <c r="J16" i="1"/>
  <c r="P16" i="1" s="1"/>
  <c r="S16" i="1" s="1"/>
  <c r="J18" i="1"/>
  <c r="P18" i="1" s="1"/>
  <c r="S18" i="1" s="1"/>
  <c r="K18" i="1"/>
  <c r="Q18" i="1" s="1"/>
  <c r="T18" i="1" s="1"/>
  <c r="K5" i="1"/>
  <c r="Q5" i="1" s="1"/>
  <c r="T5" i="1" s="1"/>
  <c r="K21" i="1"/>
  <c r="Q21" i="1" s="1"/>
  <c r="T21" i="1" s="1"/>
  <c r="K16" i="1"/>
  <c r="Q16" i="1" s="1"/>
  <c r="T16" i="1" s="1"/>
  <c r="K17" i="1"/>
  <c r="Q17" i="1" s="1"/>
  <c r="T17" i="1" s="1"/>
  <c r="K4" i="1"/>
  <c r="Q4" i="1" s="1"/>
  <c r="T4" i="1" s="1"/>
  <c r="J5" i="1"/>
  <c r="P5" i="1" s="1"/>
  <c r="S5" i="1" s="1"/>
  <c r="J19" i="1"/>
  <c r="P19" i="1" s="1"/>
  <c r="S19" i="1" s="1"/>
  <c r="J6" i="1"/>
  <c r="P6" i="1" s="1"/>
  <c r="S6" i="1" s="1"/>
  <c r="K19" i="1"/>
  <c r="Q19" i="1" s="1"/>
  <c r="T19" i="1" s="1"/>
  <c r="K6" i="1"/>
  <c r="Q6" i="1" s="1"/>
  <c r="T6" i="1" s="1"/>
  <c r="J20" i="1"/>
  <c r="P20" i="1" s="1"/>
  <c r="S20" i="1" s="1"/>
  <c r="J7" i="1"/>
  <c r="P7" i="1" s="1"/>
  <c r="S7" i="1" s="1"/>
  <c r="K20" i="1"/>
  <c r="Q20" i="1" s="1"/>
  <c r="T20" i="1" s="1"/>
  <c r="K7" i="1"/>
  <c r="Q7" i="1" s="1"/>
  <c r="T7" i="1" s="1"/>
  <c r="J21" i="1"/>
  <c r="P21" i="1" s="1"/>
  <c r="S21" i="1" s="1"/>
  <c r="J8" i="1"/>
  <c r="P8" i="1" s="1"/>
  <c r="S8" i="1" s="1"/>
  <c r="K8" i="1"/>
  <c r="Q8" i="1" s="1"/>
  <c r="T8" i="1" s="1"/>
  <c r="J22" i="1"/>
  <c r="P22" i="1" s="1"/>
  <c r="S22" i="1" s="1"/>
  <c r="K11" i="1"/>
  <c r="Q11" i="1" s="1"/>
  <c r="T11" i="1" s="1"/>
  <c r="J4" i="1"/>
  <c r="P4" i="1" s="1"/>
  <c r="J15" i="1"/>
  <c r="P15" i="1" s="1"/>
  <c r="S15" i="1" s="1"/>
  <c r="K15" i="1"/>
  <c r="Q15" i="1" s="1"/>
  <c r="T15" i="1" s="1"/>
  <c r="J17" i="1"/>
  <c r="P17" i="1" s="1"/>
  <c r="S17" i="1" s="1"/>
  <c r="Q14" i="13" l="1"/>
  <c r="O15" i="13" s="1"/>
  <c r="L18" i="14"/>
  <c r="O6" i="14"/>
  <c r="Q13" i="11"/>
  <c r="O14" i="11" s="1"/>
  <c r="Q25" i="11"/>
  <c r="O26" i="11" s="1"/>
  <c r="Q27" i="9"/>
  <c r="O28" i="9" s="1"/>
  <c r="Q14" i="9"/>
  <c r="O15" i="9" s="1"/>
  <c r="G13" i="7"/>
  <c r="Q24" i="6"/>
  <c r="AB17" i="6"/>
  <c r="AB4" i="6"/>
  <c r="AC12" i="6" s="1"/>
  <c r="Q12" i="6"/>
  <c r="AC24" i="6"/>
  <c r="T23" i="1"/>
  <c r="S4" i="1"/>
  <c r="T12" i="1" s="1"/>
  <c r="Z10" i="3"/>
  <c r="Y10" i="3"/>
  <c r="Z11" i="3"/>
  <c r="AB20" i="5"/>
  <c r="AB8" i="5"/>
  <c r="AB22" i="5"/>
  <c r="K22" i="3"/>
  <c r="N22" i="3" s="1"/>
  <c r="Z22" i="3" s="1"/>
  <c r="J21" i="3"/>
  <c r="M21" i="3" s="1"/>
  <c r="Y21" i="3" s="1"/>
  <c r="K20" i="3"/>
  <c r="N20" i="3" s="1"/>
  <c r="Z20" i="3" s="1"/>
  <c r="J20" i="3"/>
  <c r="M20" i="3" s="1"/>
  <c r="Y20" i="3" s="1"/>
  <c r="J19" i="3"/>
  <c r="M19" i="3" s="1"/>
  <c r="Q24" i="5"/>
  <c r="AC5" i="5"/>
  <c r="AC21" i="5"/>
  <c r="AB10" i="5"/>
  <c r="AC20" i="5"/>
  <c r="Q12" i="5"/>
  <c r="AC11" i="5"/>
  <c r="AB7" i="5"/>
  <c r="AC9" i="5"/>
  <c r="AB19" i="5"/>
  <c r="AB21" i="5"/>
  <c r="AC8" i="5"/>
  <c r="AC4" i="5"/>
  <c r="Z12" i="5"/>
  <c r="AC19" i="5"/>
  <c r="AB23" i="5"/>
  <c r="AB11" i="5"/>
  <c r="AC23" i="5"/>
  <c r="AC17" i="5"/>
  <c r="AB4" i="5"/>
  <c r="AB17" i="5"/>
  <c r="Z24" i="5"/>
  <c r="AB16" i="5"/>
  <c r="AB9" i="5"/>
  <c r="AC10" i="5"/>
  <c r="AC7" i="5"/>
  <c r="V19" i="4"/>
  <c r="Y19" i="4" s="1"/>
  <c r="H21" i="4"/>
  <c r="K21" i="4" s="1"/>
  <c r="AL23" i="4"/>
  <c r="V20" i="4"/>
  <c r="Y20" i="4" s="1"/>
  <c r="AK20" i="4" s="1"/>
  <c r="V16" i="4"/>
  <c r="H19" i="4"/>
  <c r="K19" i="4" s="1"/>
  <c r="H16" i="4"/>
  <c r="H23" i="4"/>
  <c r="K23" i="4" s="1"/>
  <c r="W22" i="4"/>
  <c r="Z22" i="4" s="1"/>
  <c r="AL22" i="4" s="1"/>
  <c r="G21" i="4"/>
  <c r="J21" i="4" s="1"/>
  <c r="V23" i="4"/>
  <c r="Y23" i="4" s="1"/>
  <c r="AK23" i="4" s="1"/>
  <c r="G23" i="4"/>
  <c r="J23" i="4" s="1"/>
  <c r="AK5" i="4"/>
  <c r="G19" i="4"/>
  <c r="J19" i="4" s="1"/>
  <c r="W19" i="4"/>
  <c r="Z19" i="4" s="1"/>
  <c r="AL19" i="4" s="1"/>
  <c r="AK9" i="4"/>
  <c r="V21" i="4"/>
  <c r="Y21" i="4" s="1"/>
  <c r="AK21" i="4" s="1"/>
  <c r="V18" i="4"/>
  <c r="AK19" i="4"/>
  <c r="AL9" i="4"/>
  <c r="W18" i="4"/>
  <c r="G22" i="4"/>
  <c r="J22" i="4" s="1"/>
  <c r="H18" i="4"/>
  <c r="G18" i="4"/>
  <c r="V22" i="4"/>
  <c r="Y22" i="4" s="1"/>
  <c r="AK22" i="4" s="1"/>
  <c r="H20" i="4"/>
  <c r="K20" i="4" s="1"/>
  <c r="H17" i="4"/>
  <c r="K17" i="4" s="1"/>
  <c r="V17" i="4"/>
  <c r="Y17" i="4" s="1"/>
  <c r="W17" i="4"/>
  <c r="Z17" i="4" s="1"/>
  <c r="AL17" i="4" s="1"/>
  <c r="G17" i="4"/>
  <c r="J17" i="4" s="1"/>
  <c r="K24" i="4" s="1"/>
  <c r="AK11" i="4"/>
  <c r="AL11" i="4"/>
  <c r="AK10" i="4"/>
  <c r="AK7" i="4"/>
  <c r="AL21" i="4"/>
  <c r="AL7" i="4"/>
  <c r="AL5" i="4"/>
  <c r="AL4" i="4"/>
  <c r="AL10" i="4"/>
  <c r="Z12" i="4"/>
  <c r="AK4" i="4"/>
  <c r="AK8" i="4"/>
  <c r="AI24" i="4"/>
  <c r="AL8" i="4"/>
  <c r="AI12" i="4"/>
  <c r="Y19" i="3"/>
  <c r="Y17" i="3"/>
  <c r="Z19" i="3"/>
  <c r="Z21" i="3"/>
  <c r="W24" i="3"/>
  <c r="Y4" i="3"/>
  <c r="N12" i="3"/>
  <c r="Y16" i="3"/>
  <c r="N24" i="3"/>
  <c r="V11" i="3"/>
  <c r="Y11" i="3" s="1"/>
  <c r="W21" i="2"/>
  <c r="W23" i="2"/>
  <c r="Z21" i="2"/>
  <c r="V22" i="2"/>
  <c r="Y22" i="2" s="1"/>
  <c r="V21" i="2"/>
  <c r="Y21" i="2" s="1"/>
  <c r="W22" i="2"/>
  <c r="Z22" i="2" s="1"/>
  <c r="W20" i="2"/>
  <c r="Z20" i="2" s="1"/>
  <c r="V20" i="2"/>
  <c r="W24" i="2" s="1"/>
  <c r="Z23" i="2"/>
  <c r="Z19" i="2"/>
  <c r="Y19" i="2"/>
  <c r="Y17" i="2"/>
  <c r="Z17" i="2"/>
  <c r="Z16" i="2"/>
  <c r="Q12" i="1"/>
  <c r="Q23" i="1"/>
  <c r="K23" i="1"/>
  <c r="K12" i="1"/>
  <c r="W11" i="2"/>
  <c r="Z11" i="2" s="1"/>
  <c r="W5" i="2"/>
  <c r="Z5" i="2" s="1"/>
  <c r="V5" i="2"/>
  <c r="Y5" i="2" s="1"/>
  <c r="V10" i="2"/>
  <c r="Y10" i="2" s="1"/>
  <c r="W7" i="2"/>
  <c r="Z7" i="2" s="1"/>
  <c r="W8" i="2"/>
  <c r="Z8" i="2" s="1"/>
  <c r="W4" i="2"/>
  <c r="Z4" i="2" s="1"/>
  <c r="V8" i="2"/>
  <c r="Y8" i="2" s="1"/>
  <c r="V7" i="2"/>
  <c r="Y7" i="2" s="1"/>
  <c r="V9" i="2"/>
  <c r="Y9" i="2" s="1"/>
  <c r="V11" i="2"/>
  <c r="Y11" i="2" s="1"/>
  <c r="AB11" i="2" s="1"/>
  <c r="W6" i="2"/>
  <c r="Z6" i="2" s="1"/>
  <c r="AC6" i="2" s="1"/>
  <c r="W10" i="2"/>
  <c r="Z10" i="2" s="1"/>
  <c r="W9" i="2"/>
  <c r="Z9" i="2" s="1"/>
  <c r="V4" i="2"/>
  <c r="V6" i="2"/>
  <c r="Y6" i="2" s="1"/>
  <c r="AB6" i="2" s="1"/>
  <c r="O16" i="14" l="1"/>
  <c r="O12" i="14"/>
  <c r="O4" i="14"/>
  <c r="O15" i="14"/>
  <c r="O14" i="14"/>
  <c r="O13" i="14"/>
  <c r="O11" i="14"/>
  <c r="O10" i="14"/>
  <c r="O9" i="14"/>
  <c r="O8" i="14"/>
  <c r="O7" i="14"/>
  <c r="O5" i="14"/>
  <c r="AC12" i="2"/>
  <c r="AC24" i="5"/>
  <c r="AC12" i="5"/>
  <c r="Z24" i="4"/>
  <c r="AK17" i="4"/>
  <c r="AL12" i="4"/>
  <c r="AL24" i="4"/>
  <c r="Z24" i="3"/>
  <c r="W12" i="3"/>
  <c r="Z12" i="3"/>
  <c r="Y20" i="2"/>
  <c r="AC24" i="2" s="1"/>
  <c r="AC26" i="2" s="1"/>
  <c r="W12" i="2"/>
  <c r="J4" i="2"/>
  <c r="M4" i="2" s="1"/>
  <c r="J16" i="2"/>
  <c r="M16" i="2" s="1"/>
  <c r="AF23" i="2" l="1"/>
  <c r="AE23" i="2"/>
  <c r="AF22" i="2"/>
  <c r="AE22" i="2"/>
  <c r="AF21" i="2"/>
  <c r="AE21" i="2"/>
  <c r="AF20" i="2"/>
  <c r="AE20" i="2"/>
  <c r="AF19" i="2"/>
  <c r="AE19" i="2"/>
  <c r="AF18" i="2"/>
  <c r="AE18" i="2"/>
  <c r="AF17" i="2"/>
  <c r="AE17" i="2"/>
  <c r="AF16" i="2"/>
  <c r="AE16" i="2"/>
  <c r="AF24" i="2" s="1"/>
  <c r="AF11" i="2"/>
  <c r="AF10" i="2"/>
  <c r="AE10" i="2"/>
  <c r="AF9" i="2"/>
  <c r="AE9" i="2"/>
  <c r="AF8" i="2"/>
  <c r="AE8" i="2"/>
  <c r="AF7" i="2"/>
  <c r="AE7" i="2"/>
  <c r="AF5" i="2"/>
  <c r="AE5" i="2"/>
  <c r="AF4" i="2"/>
  <c r="AE4" i="2"/>
  <c r="AE6" i="2"/>
  <c r="AF6" i="2"/>
  <c r="AE11" i="2"/>
  <c r="Y16" i="2"/>
  <c r="Z24" i="2" s="1"/>
  <c r="N24" i="2"/>
  <c r="Y4" i="2"/>
  <c r="Z12" i="2" s="1"/>
  <c r="N12" i="2"/>
  <c r="AE11" i="5" l="1"/>
  <c r="AN11" i="4"/>
  <c r="AB11" i="3"/>
  <c r="AF6" i="5"/>
  <c r="AO6" i="4"/>
  <c r="AC6" i="3"/>
  <c r="AE6" i="5"/>
  <c r="AF12" i="5" s="1"/>
  <c r="AN6" i="4"/>
  <c r="AO12" i="4" s="1"/>
  <c r="AB6" i="3"/>
  <c r="AC12" i="3" s="1"/>
  <c r="AF12" i="2"/>
  <c r="AE18" i="5"/>
  <c r="AN18" i="4"/>
  <c r="AB18" i="3"/>
  <c r="AF18" i="5"/>
  <c r="AO18" i="4"/>
  <c r="AC18" i="3"/>
  <c r="AC24" i="3" l="1"/>
  <c r="AO24" i="4"/>
  <c r="AF24" i="5"/>
  <c r="I6" i="22" l="1"/>
  <c r="P6" i="22"/>
  <c r="S6" i="22" s="1"/>
  <c r="S18" i="22" s="1"/>
  <c r="S20" i="22" l="1"/>
  <c r="S22" i="22" s="1"/>
  <c r="S23" i="22" s="1"/>
  <c r="P18" i="22"/>
</calcChain>
</file>

<file path=xl/sharedStrings.xml><?xml version="1.0" encoding="utf-8"?>
<sst xmlns="http://schemas.openxmlformats.org/spreadsheetml/2006/main" count="570" uniqueCount="93">
  <si>
    <t>A</t>
  </si>
  <si>
    <t>B</t>
  </si>
  <si>
    <t>C</t>
  </si>
  <si>
    <t>D = (B + C)</t>
  </si>
  <si>
    <t>A - D</t>
  </si>
  <si>
    <t>TOPLAM MALİYET</t>
  </si>
  <si>
    <t>MEVCUT RESMİ M2</t>
  </si>
  <si>
    <t>FAZLA DAİRE DAĞ.</t>
  </si>
  <si>
    <t>YARISI BİZDEN</t>
  </si>
  <si>
    <t>TOPLAM KAZANIM</t>
  </si>
  <si>
    <t>ÖDENECEK</t>
  </si>
  <si>
    <t>ÇATI</t>
  </si>
  <si>
    <t>5.KAT</t>
  </si>
  <si>
    <t>4.KAT</t>
  </si>
  <si>
    <t>3.KAT</t>
  </si>
  <si>
    <t>2.KAT</t>
  </si>
  <si>
    <t>1.KAT</t>
  </si>
  <si>
    <t>ZEMİN</t>
  </si>
  <si>
    <t>BODRUM</t>
  </si>
  <si>
    <t>1. BİNA</t>
  </si>
  <si>
    <t>MÜTEAHHİT DAİRE</t>
  </si>
  <si>
    <t>A - B</t>
  </si>
  <si>
    <t>YUVARLAMA</t>
  </si>
  <si>
    <t>MALİYET DAĞILIMI</t>
  </si>
  <si>
    <t>GELİR DAĞILIMI</t>
  </si>
  <si>
    <t>2.BİNA</t>
  </si>
  <si>
    <t>2 bina birleşiyor, 1. BİNA bizim bina, 2.BİNA üst bina</t>
  </si>
  <si>
    <t>Bizim binada bir dubleks var, belediyedeki projede gözüküyor, projede küçük, adam büyütmüş tüm çatıyı kullanıyor, projede küçük gözüktüğü için müteahhite kalan dairelerin paylaşımında onun payını 20 m2 gibi düşündüm</t>
  </si>
  <si>
    <t>Bizim binada bodrumda 2 dükkan var, bunlara yarısı bizdenin yarısı çıkıyor</t>
  </si>
  <si>
    <t>Bizim binadaki bodrumun birini enerji odası vb. odalar için ayırdım, bu alan yan bina için de yeterli olur, oturum büyük çünkü, buradaki daireyi de bizim binanın çatısında çıkacak daireye taşıdım, diğeri zaten dublek hakkı olanın</t>
  </si>
  <si>
    <t>Yan binadaki üst dairelerde dubleksmiş ve projede gözüküyormuş, bizim binadaki gibi 25m2 olarak kabul ettim, belediyede bakmak lazım böyle değilse işler değişir</t>
  </si>
  <si>
    <t>Yan binadaki üst daireler projede dubleks değilse</t>
  </si>
  <si>
    <t>MÜTEAHHİT KALAN</t>
  </si>
  <si>
    <t>HAK SAHİPLERİNİN</t>
  </si>
  <si>
    <t>MÜTEAHHİTE KALAN</t>
  </si>
  <si>
    <t>DAİRE TUTARLARI</t>
  </si>
  <si>
    <t>MEVCUT M2'LERİ</t>
  </si>
  <si>
    <t>DAİRE GELİR DAĞILIMI</t>
  </si>
  <si>
    <t>34.000 TL / M2</t>
  </si>
  <si>
    <t>MÜTEAHHİTE KALAN DAİRE</t>
  </si>
  <si>
    <t>YENİ YAPILACAK M2</t>
  </si>
  <si>
    <t>2.BODRUM</t>
  </si>
  <si>
    <t>ELDEN ÖDEME</t>
  </si>
  <si>
    <t>MÜTAHİT DAİRE</t>
  </si>
  <si>
    <t>DAİRE ALANLAR</t>
  </si>
  <si>
    <t>* SIĞINAK / KUYU TEMEL</t>
  </si>
  <si>
    <t>M2 ÖDEME</t>
  </si>
  <si>
    <t>* OTOPARK / KUYU TEMEL - HARİÇ</t>
  </si>
  <si>
    <t>SABİT FİYAT - (OTOPARK HARÇ / KUYU TEMEL HARİÇ)</t>
  </si>
  <si>
    <t>SAĞLAMA</t>
  </si>
  <si>
    <t>Y.BİZDEN + ELDEN</t>
  </si>
  <si>
    <t>DAİRE m2</t>
  </si>
  <si>
    <t>ÇAYKARA APT.</t>
  </si>
  <si>
    <t>BİRLİK APT.</t>
  </si>
  <si>
    <t>2 BİNA AYRI AYRI - SABİT FİYAT - (OTOPARK HARCI / KUYU TEMEL / SIĞINAK HARİÇ)</t>
  </si>
  <si>
    <t>2 BİNA BİRLEŞİRSE - SABİT FİYAT - (OTOPARK HARCI / KUYU TEMEL / SIĞINAK HARİÇ)</t>
  </si>
  <si>
    <t>KAT</t>
  </si>
  <si>
    <t>ZMN</t>
  </si>
  <si>
    <t>B1</t>
  </si>
  <si>
    <t>BİRİM
FİYAT</t>
  </si>
  <si>
    <t>2. BODRUM
SIĞINAK
ORTAK ALAN
m2</t>
  </si>
  <si>
    <t>DAİRE
BRÜT
m2</t>
  </si>
  <si>
    <t>TOPLAM
ALAN
m2</t>
  </si>
  <si>
    <t>ÖDENECEK
TUTAR</t>
  </si>
  <si>
    <t>MÜT. KALAN
1 DUBLEKS
+ 1 NORMAL</t>
  </si>
  <si>
    <t>MÜT. KALAN
1 DUBLEKS
+ 1 NORMAL
İNDİRİMİ</t>
  </si>
  <si>
    <t>YARISI
BİZDEN
İNDİRİMİ</t>
  </si>
  <si>
    <t>SIĞINAK DAHİL
YAPIM
MALİYETİ</t>
  </si>
  <si>
    <t>m2</t>
  </si>
  <si>
    <t>B2-SIĞ.</t>
  </si>
  <si>
    <t>TOPLAM
ALAN
(SIĞINAK DAHİL)</t>
  </si>
  <si>
    <t>DAİRE
MALİYET</t>
  </si>
  <si>
    <t>SIĞINAK
MALİYET</t>
  </si>
  <si>
    <t>DAİRE
ALANLAR</t>
  </si>
  <si>
    <t>MÜT. DAİRE VERİLMESİ SONRASI
DAİRE
MALİYET</t>
  </si>
  <si>
    <t>A
SIĞINAK DAHİL DAİRE MALİYETLERİ</t>
  </si>
  <si>
    <t>A - B
SIĞINAK DAHİL MÜTEAHHİTE ÖDENECEK TUTAR</t>
  </si>
  <si>
    <t>MÜTEAHHİTE KALAN
DAİRELER SONRASI
TOPLAM MALİYET
*(DİP TOPLAM AYNI TUTAR)</t>
  </si>
  <si>
    <t>B
YARISI BİZDEN KAMPANYASI</t>
  </si>
  <si>
    <t>Ç</t>
  </si>
  <si>
    <t>B1-dük</t>
  </si>
  <si>
    <t>ZM-daire</t>
  </si>
  <si>
    <t>B1-sığn</t>
  </si>
  <si>
    <t>ZM-dükk</t>
  </si>
  <si>
    <t>kalan daireler</t>
  </si>
  <si>
    <t>yarısı bizden + elden</t>
  </si>
  <si>
    <t>kontrol</t>
  </si>
  <si>
    <t>toplam</t>
  </si>
  <si>
    <t>DAİRE</t>
  </si>
  <si>
    <t>SIĞINAK</t>
  </si>
  <si>
    <t>SIĞINAK HARİÇ
TOPLAM MALİYET</t>
  </si>
  <si>
    <t>DAİRE BAŞINA DÜŞEN
SIĞINAK MALİYETİ
(57,5 m2)</t>
  </si>
  <si>
    <t>ARDA APARTMANI - SIĞINAK DAHİL / KUYU TEMEL HARİÇ / OTOPARK HARÇLARI HARİÇ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</si>
</sst>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 \m\2"/>
    <numFmt numFmtId="166" formatCode="0.000_ ;[Red]\-0.000\ "/>
    <numFmt numFmtId="167" formatCode="#,##0_ ;[Red]\-#,##0\ "/>
    <numFmt numFmtId="168" formatCode="#,##0\ &quot;TL/m2&quot;"/>
    <numFmt numFmtId="169" formatCode="#,##0\ &quot;m2&quot;"/>
    <numFmt numFmtId="170" formatCode="#,##0\ &quot;TL&quot;"/>
    <numFmt numFmtId="171" formatCode="#,##0\ &quot;DAİRELERİN YAPIM MALİYETİ&quot;"/>
    <numFmt numFmtId="172" formatCode="#,##0.0\ &quot;m2&quot;"/>
    <numFmt numFmtId="174" formatCode="#,##0.00\ &quot;m2&quot;"/>
  </numFmts>
  <fonts count="5" x14ac:knownFonts="1">
    <font>
      <sz val="11"/>
      <color theme="1"/>
      <name val="Calibri"/>
      <family val="2"/>
      <scheme val="minor"/>
    </font>
    <font>
      <sz val="11"/>
      <color theme="1"/>
      <name val="Calibri"/>
      <family val="2"/>
      <charset val="162"/>
      <scheme val="minor"/>
    </font>
    <font>
      <sz val="11"/>
      <color theme="1"/>
      <name val="Calibri"/>
      <family val="2"/>
      <scheme val="minor"/>
    </font>
    <font>
      <b/>
      <sz val="11"/>
      <color theme="1"/>
      <name val="Calibri"/>
      <family val="2"/>
      <charset val="162"/>
      <scheme val="minor"/>
    </font>
    <font>
      <b/>
      <sz val="11"/>
      <name val="Calibri"/>
      <family val="2"/>
      <charset val="162"/>
      <scheme val="minor"/>
    </font>
  </fonts>
  <fills count="11">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tint="-0.249977111117893"/>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right style="thick">
        <color indexed="64"/>
      </right>
      <top style="thin">
        <color indexed="64"/>
      </top>
      <bottom/>
      <diagonal/>
    </border>
    <border>
      <left/>
      <right/>
      <top style="thin">
        <color indexed="64"/>
      </top>
      <bottom/>
      <diagonal/>
    </border>
    <border>
      <left/>
      <right/>
      <top/>
      <bottom style="thick">
        <color indexed="64"/>
      </bottom>
      <diagonal/>
    </border>
    <border>
      <left style="thick">
        <color indexed="64"/>
      </left>
      <right/>
      <top style="thin">
        <color indexed="64"/>
      </top>
      <bottom/>
      <diagonal/>
    </border>
    <border>
      <left style="medium">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hair">
        <color auto="1"/>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double">
        <color indexed="64"/>
      </bottom>
      <diagonal/>
    </border>
    <border>
      <left style="hair">
        <color auto="1"/>
      </left>
      <right/>
      <top style="hair">
        <color auto="1"/>
      </top>
      <bottom style="double">
        <color indexed="64"/>
      </bottom>
      <diagonal/>
    </border>
    <border>
      <left style="medium">
        <color indexed="64"/>
      </left>
      <right style="hair">
        <color auto="1"/>
      </right>
      <top style="hair">
        <color auto="1"/>
      </top>
      <bottom style="double">
        <color indexed="64"/>
      </bottom>
      <diagonal/>
    </border>
    <border>
      <left style="hair">
        <color auto="1"/>
      </left>
      <right style="medium">
        <color indexed="64"/>
      </right>
      <top style="hair">
        <color auto="1"/>
      </top>
      <bottom style="double">
        <color indexed="64"/>
      </bottom>
      <diagonal/>
    </border>
    <border>
      <left/>
      <right style="hair">
        <color auto="1"/>
      </right>
      <top style="hair">
        <color auto="1"/>
      </top>
      <bottom style="double">
        <color indexed="64"/>
      </bottom>
      <diagonal/>
    </border>
    <border>
      <left style="medium">
        <color indexed="64"/>
      </left>
      <right style="hair">
        <color auto="1"/>
      </right>
      <top style="double">
        <color indexed="64"/>
      </top>
      <bottom style="hair">
        <color indexed="64"/>
      </bottom>
      <diagonal/>
    </border>
    <border>
      <left style="hair">
        <color auto="1"/>
      </left>
      <right style="medium">
        <color indexed="64"/>
      </right>
      <top style="double">
        <color indexed="64"/>
      </top>
      <bottom style="hair">
        <color indexed="64"/>
      </bottom>
      <diagonal/>
    </border>
    <border>
      <left style="thin">
        <color indexed="64"/>
      </left>
      <right/>
      <top style="hair">
        <color auto="1"/>
      </top>
      <bottom style="hair">
        <color auto="1"/>
      </bottom>
      <diagonal/>
    </border>
    <border>
      <left style="thin">
        <color indexed="64"/>
      </left>
      <right style="hair">
        <color auto="1"/>
      </right>
      <top style="hair">
        <color auto="1"/>
      </top>
      <bottom style="hair">
        <color auto="1"/>
      </bottom>
      <diagonal/>
    </border>
    <border>
      <left style="thin">
        <color indexed="64"/>
      </left>
      <right style="hair">
        <color auto="1"/>
      </right>
      <top style="hair">
        <color auto="1"/>
      </top>
      <bottom style="double">
        <color indexed="64"/>
      </bottom>
      <diagonal/>
    </border>
    <border>
      <left style="thin">
        <color indexed="64"/>
      </left>
      <right style="hair">
        <color auto="1"/>
      </right>
      <top style="double">
        <color indexed="64"/>
      </top>
      <bottom style="hair">
        <color indexed="64"/>
      </bottom>
      <diagonal/>
    </border>
    <border>
      <left style="thin">
        <color indexed="64"/>
      </left>
      <right style="hair">
        <color auto="1"/>
      </right>
      <top/>
      <bottom style="hair">
        <color auto="1"/>
      </bottom>
      <diagonal/>
    </border>
    <border>
      <left style="hair">
        <color auto="1"/>
      </left>
      <right style="thin">
        <color indexed="64"/>
      </right>
      <top style="hair">
        <color auto="1"/>
      </top>
      <bottom style="hair">
        <color auto="1"/>
      </bottom>
      <diagonal/>
    </border>
    <border>
      <left style="hair">
        <color auto="1"/>
      </left>
      <right style="thin">
        <color indexed="64"/>
      </right>
      <top style="hair">
        <color auto="1"/>
      </top>
      <bottom style="double">
        <color indexed="64"/>
      </bottom>
      <diagonal/>
    </border>
    <border>
      <left style="hair">
        <color auto="1"/>
      </left>
      <right style="thin">
        <color indexed="64"/>
      </right>
      <top style="double">
        <color indexed="64"/>
      </top>
      <bottom style="hair">
        <color indexed="64"/>
      </bottom>
      <diagonal/>
    </border>
    <border>
      <left style="hair">
        <color auto="1"/>
      </left>
      <right style="thin">
        <color indexed="64"/>
      </right>
      <top/>
      <bottom style="hair">
        <color auto="1"/>
      </bottom>
      <diagonal/>
    </border>
    <border>
      <left style="hair">
        <color auto="1"/>
      </left>
      <right/>
      <top style="double">
        <color indexed="64"/>
      </top>
      <bottom style="hair">
        <color auto="1"/>
      </bottom>
      <diagonal/>
    </border>
    <border>
      <left/>
      <right/>
      <top style="hair">
        <color auto="1"/>
      </top>
      <bottom style="hair">
        <color auto="1"/>
      </bottom>
      <diagonal/>
    </border>
    <border>
      <left/>
      <right style="thin">
        <color indexed="64"/>
      </right>
      <top style="hair">
        <color auto="1"/>
      </top>
      <bottom style="hair">
        <color auto="1"/>
      </bottom>
      <diagonal/>
    </border>
    <border>
      <left style="medium">
        <color indexed="64"/>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hair">
        <color auto="1"/>
      </top>
      <bottom style="double">
        <color indexed="64"/>
      </bottom>
      <diagonal/>
    </border>
    <border>
      <left/>
      <right style="thin">
        <color indexed="64"/>
      </right>
      <top style="hair">
        <color auto="1"/>
      </top>
      <bottom style="double">
        <color indexed="64"/>
      </bottom>
      <diagonal/>
    </border>
    <border>
      <left style="thin">
        <color indexed="64"/>
      </left>
      <right/>
      <top style="hair">
        <color auto="1"/>
      </top>
      <bottom style="double">
        <color indexed="64"/>
      </bottom>
      <diagonal/>
    </border>
    <border>
      <left/>
      <right style="medium">
        <color indexed="64"/>
      </right>
      <top style="hair">
        <color auto="1"/>
      </top>
      <bottom style="double">
        <color indexed="64"/>
      </bottom>
      <diagonal/>
    </border>
    <border>
      <left/>
      <right style="hair">
        <color auto="1"/>
      </right>
      <top style="double">
        <color indexed="64"/>
      </top>
      <bottom style="hair">
        <color auto="1"/>
      </bottom>
      <diagonal/>
    </border>
    <border>
      <left style="hair">
        <color auto="1"/>
      </left>
      <right/>
      <top/>
      <bottom/>
      <diagonal/>
    </border>
    <border>
      <left/>
      <right style="hair">
        <color auto="1"/>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232">
    <xf numFmtId="0" fontId="0" fillId="0" borderId="0" xfId="0"/>
    <xf numFmtId="0" fontId="0" fillId="0" borderId="0" xfId="0" applyAlignment="1">
      <alignment horizontal="center"/>
    </xf>
    <xf numFmtId="0" fontId="0" fillId="0" borderId="1" xfId="0" applyBorder="1" applyAlignment="1">
      <alignment horizontal="center"/>
    </xf>
    <xf numFmtId="3" fontId="0" fillId="0" borderId="0" xfId="0" applyNumberFormat="1"/>
    <xf numFmtId="3" fontId="0" fillId="0" borderId="1" xfId="0" applyNumberFormat="1" applyBorder="1" applyAlignment="1">
      <alignment horizontal="right" indent="1"/>
    </xf>
    <xf numFmtId="3" fontId="0" fillId="0" borderId="0" xfId="0" applyNumberFormat="1" applyAlignment="1">
      <alignment horizontal="right" indent="1"/>
    </xf>
    <xf numFmtId="3" fontId="3" fillId="0" borderId="0" xfId="0" applyNumberFormat="1" applyFont="1" applyAlignment="1">
      <alignment horizontal="right" indent="1"/>
    </xf>
    <xf numFmtId="3" fontId="0" fillId="2" borderId="1" xfId="0" applyNumberFormat="1" applyFill="1" applyBorder="1" applyAlignment="1">
      <alignment horizontal="right" indent="1"/>
    </xf>
    <xf numFmtId="4" fontId="0" fillId="0" borderId="0" xfId="0" applyNumberFormat="1" applyAlignment="1">
      <alignment horizontal="right" indent="1"/>
    </xf>
    <xf numFmtId="164" fontId="0" fillId="0" borderId="1" xfId="0" applyNumberFormat="1" applyBorder="1" applyAlignment="1">
      <alignment horizontal="right" indent="1"/>
    </xf>
    <xf numFmtId="164" fontId="0" fillId="0" borderId="0" xfId="0" applyNumberFormat="1" applyAlignment="1">
      <alignment horizontal="right" indent="1"/>
    </xf>
    <xf numFmtId="164" fontId="3" fillId="0" borderId="0" xfId="0" applyNumberFormat="1" applyFont="1" applyAlignment="1">
      <alignment horizontal="right" indent="1"/>
    </xf>
    <xf numFmtId="164" fontId="0" fillId="2" borderId="1" xfId="0" applyNumberFormat="1" applyFill="1" applyBorder="1" applyAlignment="1">
      <alignment horizontal="right" indent="1"/>
    </xf>
    <xf numFmtId="4" fontId="3" fillId="3" borderId="0" xfId="0" applyNumberFormat="1" applyFont="1" applyFill="1"/>
    <xf numFmtId="4" fontId="3" fillId="3" borderId="0" xfId="0" applyNumberFormat="1" applyFont="1" applyFill="1" applyAlignment="1">
      <alignment horizontal="right" indent="1"/>
    </xf>
    <xf numFmtId="9" fontId="0" fillId="0" borderId="1" xfId="1" applyFont="1" applyBorder="1" applyAlignment="1">
      <alignment horizontal="right" indent="1"/>
    </xf>
    <xf numFmtId="9" fontId="0" fillId="2" borderId="1" xfId="1" applyFont="1" applyFill="1" applyBorder="1" applyAlignment="1">
      <alignment horizontal="right" indent="1"/>
    </xf>
    <xf numFmtId="165" fontId="3" fillId="3" borderId="0" xfId="0" applyNumberFormat="1" applyFont="1" applyFill="1"/>
    <xf numFmtId="165" fontId="3" fillId="3" borderId="0" xfId="0" applyNumberFormat="1" applyFont="1" applyFill="1" applyAlignment="1">
      <alignment horizontal="right" indent="1"/>
    </xf>
    <xf numFmtId="165" fontId="0" fillId="0" borderId="1" xfId="0" applyNumberFormat="1" applyBorder="1" applyAlignment="1">
      <alignment horizontal="right" indent="1"/>
    </xf>
    <xf numFmtId="165" fontId="0" fillId="2" borderId="1" xfId="0" applyNumberFormat="1" applyFill="1" applyBorder="1" applyAlignment="1">
      <alignment horizontal="right" indent="1"/>
    </xf>
    <xf numFmtId="165" fontId="0" fillId="0" borderId="0" xfId="0" applyNumberFormat="1" applyAlignment="1">
      <alignment horizontal="right" indent="1"/>
    </xf>
    <xf numFmtId="165" fontId="3" fillId="0" borderId="0" xfId="0" applyNumberFormat="1" applyFont="1" applyAlignment="1">
      <alignment horizontal="right" indent="1"/>
    </xf>
    <xf numFmtId="0" fontId="0" fillId="4" borderId="0" xfId="0" applyFill="1"/>
    <xf numFmtId="165" fontId="3" fillId="3" borderId="1" xfId="0" applyNumberFormat="1" applyFont="1" applyFill="1" applyBorder="1" applyAlignment="1">
      <alignment horizontal="center"/>
    </xf>
    <xf numFmtId="0" fontId="3" fillId="0" borderId="0" xfId="0" applyFont="1"/>
    <xf numFmtId="4" fontId="3" fillId="3" borderId="1" xfId="0" applyNumberFormat="1" applyFont="1" applyFill="1" applyBorder="1"/>
    <xf numFmtId="4" fontId="3" fillId="3" borderId="1" xfId="0" applyNumberFormat="1" applyFont="1" applyFill="1" applyBorder="1" applyAlignment="1">
      <alignment horizontal="right" indent="1"/>
    </xf>
    <xf numFmtId="166" fontId="3" fillId="3" borderId="1" xfId="0" applyNumberFormat="1" applyFont="1" applyFill="1" applyBorder="1"/>
    <xf numFmtId="166" fontId="3" fillId="3" borderId="1" xfId="0" applyNumberFormat="1" applyFont="1" applyFill="1" applyBorder="1" applyAlignment="1">
      <alignment horizontal="right" indent="1"/>
    </xf>
    <xf numFmtId="166" fontId="0" fillId="0" borderId="1" xfId="0" applyNumberFormat="1" applyBorder="1" applyAlignment="1">
      <alignment horizontal="right" indent="1"/>
    </xf>
    <xf numFmtId="166" fontId="0" fillId="2" borderId="1" xfId="0" applyNumberFormat="1" applyFill="1" applyBorder="1" applyAlignment="1">
      <alignment horizontal="right" indent="1"/>
    </xf>
    <xf numFmtId="166" fontId="0" fillId="0" borderId="0" xfId="0" applyNumberFormat="1" applyAlignment="1">
      <alignment horizontal="right" indent="1"/>
    </xf>
    <xf numFmtId="166" fontId="3" fillId="0" borderId="0" xfId="0" applyNumberFormat="1" applyFont="1" applyAlignment="1">
      <alignment horizontal="right" indent="1"/>
    </xf>
    <xf numFmtId="166" fontId="3" fillId="3" borderId="0" xfId="0" applyNumberFormat="1" applyFont="1" applyFill="1"/>
    <xf numFmtId="166" fontId="3" fillId="3" borderId="0" xfId="0" applyNumberFormat="1" applyFont="1" applyFill="1" applyAlignment="1">
      <alignment horizontal="right" indent="1"/>
    </xf>
    <xf numFmtId="166" fontId="0" fillId="0" borderId="0" xfId="0" applyNumberFormat="1"/>
    <xf numFmtId="3" fontId="3" fillId="3" borderId="1" xfId="0" applyNumberFormat="1" applyFont="1" applyFill="1" applyBorder="1" applyAlignment="1">
      <alignment horizontal="center"/>
    </xf>
    <xf numFmtId="167" fontId="3" fillId="3" borderId="1" xfId="0" applyNumberFormat="1" applyFont="1" applyFill="1" applyBorder="1" applyAlignment="1">
      <alignment horizontal="center"/>
    </xf>
    <xf numFmtId="167" fontId="0" fillId="0" borderId="1" xfId="0" applyNumberFormat="1" applyBorder="1" applyAlignment="1">
      <alignment horizontal="right" indent="1"/>
    </xf>
    <xf numFmtId="167" fontId="0" fillId="2" borderId="1" xfId="0" applyNumberFormat="1" applyFill="1" applyBorder="1" applyAlignment="1">
      <alignment horizontal="right" indent="1"/>
    </xf>
    <xf numFmtId="167" fontId="0" fillId="0" borderId="0" xfId="0" applyNumberFormat="1" applyAlignment="1">
      <alignment horizontal="right" indent="1"/>
    </xf>
    <xf numFmtId="167" fontId="3" fillId="0" borderId="0" xfId="0" applyNumberFormat="1" applyFont="1" applyAlignment="1">
      <alignment horizontal="right" indent="1"/>
    </xf>
    <xf numFmtId="167" fontId="0" fillId="0" borderId="0" xfId="0" applyNumberFormat="1"/>
    <xf numFmtId="3" fontId="3" fillId="3" borderId="2" xfId="0" applyNumberFormat="1" applyFont="1" applyFill="1" applyBorder="1" applyAlignment="1">
      <alignment horizontal="center"/>
    </xf>
    <xf numFmtId="3" fontId="3" fillId="3" borderId="3" xfId="0" applyNumberFormat="1" applyFont="1" applyFill="1" applyBorder="1" applyAlignment="1">
      <alignment horizontal="center"/>
    </xf>
    <xf numFmtId="165" fontId="0" fillId="0" borderId="0" xfId="0" applyNumberFormat="1" applyAlignment="1">
      <alignment horizontal="left"/>
    </xf>
    <xf numFmtId="165" fontId="0" fillId="0" borderId="0" xfId="0" applyNumberFormat="1"/>
    <xf numFmtId="3" fontId="0" fillId="4" borderId="0" xfId="0" applyNumberFormat="1" applyFill="1"/>
    <xf numFmtId="3" fontId="0" fillId="5" borderId="1" xfId="0" applyNumberFormat="1" applyFill="1" applyBorder="1" applyAlignment="1">
      <alignment horizontal="right" indent="1"/>
    </xf>
    <xf numFmtId="3" fontId="0" fillId="5" borderId="2" xfId="0" applyNumberFormat="1" applyFill="1" applyBorder="1" applyAlignment="1">
      <alignment horizontal="right" indent="1"/>
    </xf>
    <xf numFmtId="3" fontId="0" fillId="0" borderId="2" xfId="0" applyNumberFormat="1" applyBorder="1" applyAlignment="1">
      <alignment horizontal="right" indent="1"/>
    </xf>
    <xf numFmtId="3" fontId="0" fillId="0" borderId="3" xfId="0" applyNumberFormat="1" applyBorder="1" applyAlignment="1">
      <alignment horizontal="right" indent="1"/>
    </xf>
    <xf numFmtId="3" fontId="0" fillId="5" borderId="3" xfId="0" applyNumberFormat="1" applyFill="1" applyBorder="1" applyAlignment="1">
      <alignment horizontal="right" indent="1"/>
    </xf>
    <xf numFmtId="3" fontId="0" fillId="0" borderId="7" xfId="0" applyNumberFormat="1" applyBorder="1" applyAlignment="1">
      <alignment horizontal="right" indent="1"/>
    </xf>
    <xf numFmtId="3" fontId="0" fillId="5" borderId="8" xfId="0" applyNumberFormat="1" applyFill="1" applyBorder="1" applyAlignment="1">
      <alignment horizontal="right" indent="1"/>
    </xf>
    <xf numFmtId="3" fontId="0" fillId="0" borderId="8" xfId="0" applyNumberFormat="1" applyBorder="1" applyAlignment="1">
      <alignment horizontal="right" indent="1"/>
    </xf>
    <xf numFmtId="3" fontId="0" fillId="5" borderId="7" xfId="0" applyNumberFormat="1" applyFill="1" applyBorder="1" applyAlignment="1">
      <alignment horizontal="right" indent="1"/>
    </xf>
    <xf numFmtId="165" fontId="0" fillId="5" borderId="1" xfId="0" applyNumberFormat="1" applyFill="1" applyBorder="1" applyAlignment="1">
      <alignment horizontal="right" indent="1"/>
    </xf>
    <xf numFmtId="0" fontId="0" fillId="4" borderId="12" xfId="0" applyFill="1" applyBorder="1"/>
    <xf numFmtId="3" fontId="0" fillId="4" borderId="12" xfId="0" applyNumberFormat="1" applyFill="1" applyBorder="1"/>
    <xf numFmtId="3" fontId="0" fillId="4" borderId="11" xfId="0" applyNumberFormat="1" applyFill="1" applyBorder="1" applyAlignment="1">
      <alignment vertical="center"/>
    </xf>
    <xf numFmtId="3" fontId="0" fillId="4" borderId="11" xfId="0" applyNumberFormat="1" applyFill="1" applyBorder="1"/>
    <xf numFmtId="3" fontId="0" fillId="4" borderId="6" xfId="0" applyNumberFormat="1" applyFill="1" applyBorder="1"/>
    <xf numFmtId="3" fontId="0" fillId="4" borderId="3" xfId="0" applyNumberFormat="1" applyFill="1" applyBorder="1"/>
    <xf numFmtId="165" fontId="0" fillId="0" borderId="20" xfId="0" applyNumberFormat="1" applyBorder="1" applyAlignment="1">
      <alignment horizontal="right" indent="1"/>
    </xf>
    <xf numFmtId="165" fontId="3" fillId="0" borderId="21" xfId="0" applyNumberFormat="1" applyFont="1" applyBorder="1" applyAlignment="1">
      <alignment horizontal="right" indent="1"/>
    </xf>
    <xf numFmtId="0" fontId="3" fillId="0" borderId="22" xfId="0" applyFont="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0" fillId="0" borderId="0" xfId="0" applyAlignment="1">
      <alignment horizontal="left"/>
    </xf>
    <xf numFmtId="3" fontId="3" fillId="0" borderId="0" xfId="0" applyNumberFormat="1" applyFont="1" applyAlignment="1">
      <alignment horizontal="left" indent="1"/>
    </xf>
    <xf numFmtId="165" fontId="0" fillId="0" borderId="4" xfId="0" applyNumberFormat="1" applyBorder="1" applyAlignment="1">
      <alignment horizontal="right" indent="1"/>
    </xf>
    <xf numFmtId="0" fontId="3" fillId="0" borderId="26" xfId="0" applyFont="1" applyBorder="1" applyAlignment="1">
      <alignment horizontal="center"/>
    </xf>
    <xf numFmtId="0" fontId="0" fillId="4" borderId="26" xfId="0" applyFill="1" applyBorder="1"/>
    <xf numFmtId="3" fontId="0" fillId="0" borderId="26" xfId="0" applyNumberFormat="1" applyBorder="1" applyAlignment="1">
      <alignment horizontal="right" indent="1"/>
    </xf>
    <xf numFmtId="3" fontId="0" fillId="5" borderId="26" xfId="0" applyNumberFormat="1" applyFill="1" applyBorder="1" applyAlignment="1">
      <alignment horizontal="right" indent="1"/>
    </xf>
    <xf numFmtId="3" fontId="0" fillId="4" borderId="26" xfId="0" applyNumberFormat="1" applyFill="1" applyBorder="1"/>
    <xf numFmtId="165" fontId="0" fillId="0" borderId="26" xfId="0" applyNumberFormat="1" applyBorder="1" applyAlignment="1">
      <alignment horizontal="right" indent="1"/>
    </xf>
    <xf numFmtId="165" fontId="0" fillId="5" borderId="26" xfId="0" applyNumberFormat="1" applyFill="1" applyBorder="1" applyAlignment="1">
      <alignment horizontal="right" indent="1"/>
    </xf>
    <xf numFmtId="3" fontId="0" fillId="4" borderId="26" xfId="0" applyNumberFormat="1" applyFill="1" applyBorder="1" applyAlignment="1">
      <alignment vertical="center"/>
    </xf>
    <xf numFmtId="3" fontId="0" fillId="4" borderId="27" xfId="0" applyNumberFormat="1" applyFill="1" applyBorder="1" applyAlignment="1">
      <alignment vertical="center"/>
    </xf>
    <xf numFmtId="3" fontId="0" fillId="4" borderId="27" xfId="0" applyNumberFormat="1" applyFill="1" applyBorder="1"/>
    <xf numFmtId="3" fontId="0" fillId="4" borderId="28" xfId="0" applyNumberFormat="1" applyFill="1" applyBorder="1"/>
    <xf numFmtId="3" fontId="0" fillId="0" borderId="30" xfId="0" applyNumberFormat="1" applyBorder="1" applyAlignment="1">
      <alignment horizontal="right" indent="1"/>
    </xf>
    <xf numFmtId="3" fontId="0" fillId="5" borderId="31" xfId="0" applyNumberFormat="1" applyFill="1" applyBorder="1" applyAlignment="1">
      <alignment horizontal="right" indent="1"/>
    </xf>
    <xf numFmtId="3" fontId="0" fillId="0" borderId="31" xfId="0" applyNumberFormat="1" applyBorder="1" applyAlignment="1">
      <alignment horizontal="right" indent="1"/>
    </xf>
    <xf numFmtId="3" fontId="0" fillId="5" borderId="30" xfId="0" applyNumberFormat="1" applyFill="1" applyBorder="1" applyAlignment="1">
      <alignment horizontal="right" indent="1"/>
    </xf>
    <xf numFmtId="0" fontId="0" fillId="4" borderId="29" xfId="0" applyFill="1" applyBorder="1"/>
    <xf numFmtId="3" fontId="0" fillId="4" borderId="29" xfId="0" applyNumberFormat="1" applyFill="1" applyBorder="1"/>
    <xf numFmtId="3" fontId="0" fillId="4" borderId="32" xfId="0" applyNumberFormat="1" applyFill="1" applyBorder="1"/>
    <xf numFmtId="3" fontId="0" fillId="4" borderId="33" xfId="0" applyNumberFormat="1" applyFill="1" applyBorder="1"/>
    <xf numFmtId="0" fontId="3" fillId="0" borderId="34" xfId="0" applyFont="1" applyBorder="1" applyAlignment="1">
      <alignment horizontal="center"/>
    </xf>
    <xf numFmtId="0" fontId="0" fillId="4" borderId="34" xfId="0" applyFill="1" applyBorder="1"/>
    <xf numFmtId="3" fontId="0" fillId="4" borderId="34" xfId="0" applyNumberFormat="1" applyFill="1" applyBorder="1"/>
    <xf numFmtId="3" fontId="0" fillId="4" borderId="35" xfId="0" applyNumberFormat="1" applyFill="1" applyBorder="1"/>
    <xf numFmtId="3" fontId="0" fillId="4" borderId="38" xfId="0" applyNumberFormat="1" applyFill="1" applyBorder="1"/>
    <xf numFmtId="165" fontId="0" fillId="0" borderId="34" xfId="0" applyNumberFormat="1" applyBorder="1" applyAlignment="1">
      <alignment horizontal="right" indent="1"/>
    </xf>
    <xf numFmtId="3" fontId="0" fillId="0" borderId="42" xfId="0" applyNumberFormat="1" applyBorder="1" applyAlignment="1">
      <alignment horizontal="right" indent="1"/>
    </xf>
    <xf numFmtId="3" fontId="0" fillId="5" borderId="42" xfId="0" applyNumberFormat="1" applyFill="1" applyBorder="1" applyAlignment="1">
      <alignment horizontal="right" indent="1"/>
    </xf>
    <xf numFmtId="3" fontId="0" fillId="5" borderId="46" xfId="0" applyNumberFormat="1" applyFill="1" applyBorder="1" applyAlignment="1">
      <alignment horizontal="right" indent="1"/>
    </xf>
    <xf numFmtId="3" fontId="0" fillId="0" borderId="46" xfId="0" applyNumberFormat="1" applyBorder="1" applyAlignment="1">
      <alignment horizontal="right" indent="1"/>
    </xf>
    <xf numFmtId="3" fontId="0" fillId="0" borderId="57" xfId="0" applyNumberFormat="1" applyBorder="1" applyAlignment="1">
      <alignment horizontal="center"/>
    </xf>
    <xf numFmtId="3" fontId="0" fillId="0" borderId="58" xfId="0" applyNumberFormat="1" applyBorder="1" applyAlignment="1">
      <alignment horizontal="center"/>
    </xf>
    <xf numFmtId="3" fontId="0" fillId="0" borderId="55" xfId="0" applyNumberFormat="1" applyBorder="1" applyAlignment="1">
      <alignment horizontal="center"/>
    </xf>
    <xf numFmtId="3" fontId="0" fillId="0" borderId="56" xfId="0" applyNumberFormat="1" applyBorder="1" applyAlignment="1">
      <alignment horizontal="center"/>
    </xf>
    <xf numFmtId="0" fontId="0" fillId="0" borderId="0" xfId="0" applyAlignment="1">
      <alignment vertical="center"/>
    </xf>
    <xf numFmtId="3" fontId="3" fillId="0" borderId="0" xfId="0" applyNumberFormat="1" applyFont="1" applyAlignment="1">
      <alignment horizontal="center" vertical="center"/>
    </xf>
    <xf numFmtId="0" fontId="3" fillId="3" borderId="0" xfId="0" applyFont="1" applyFill="1" applyAlignment="1">
      <alignment horizontal="center" vertical="center"/>
    </xf>
    <xf numFmtId="3" fontId="3" fillId="0" borderId="0" xfId="0" applyNumberFormat="1" applyFont="1" applyAlignment="1">
      <alignment horizontal="center"/>
    </xf>
    <xf numFmtId="3" fontId="0" fillId="0" borderId="0" xfId="0" applyNumberFormat="1" applyAlignment="1">
      <alignment horizontal="center"/>
    </xf>
    <xf numFmtId="0" fontId="3" fillId="3" borderId="1" xfId="0" applyFont="1" applyFill="1" applyBorder="1" applyAlignment="1">
      <alignment horizontal="center" vertical="center"/>
    </xf>
    <xf numFmtId="0" fontId="3" fillId="0" borderId="1" xfId="0" applyFont="1" applyBorder="1" applyAlignment="1">
      <alignment horizontal="center"/>
    </xf>
    <xf numFmtId="3" fontId="3" fillId="3" borderId="1" xfId="0" applyNumberFormat="1" applyFont="1" applyFill="1" applyBorder="1" applyAlignment="1">
      <alignment horizontal="center" vertical="center" wrapText="1"/>
    </xf>
    <xf numFmtId="169" fontId="0" fillId="0" borderId="1" xfId="0" applyNumberFormat="1" applyBorder="1" applyAlignment="1">
      <alignment horizontal="center"/>
    </xf>
    <xf numFmtId="169" fontId="3" fillId="0" borderId="1" xfId="0" applyNumberFormat="1" applyFont="1" applyBorder="1" applyAlignment="1">
      <alignment horizontal="center"/>
    </xf>
    <xf numFmtId="170" fontId="3" fillId="0" borderId="1" xfId="0" applyNumberFormat="1" applyFont="1" applyBorder="1" applyAlignment="1">
      <alignment horizontal="center"/>
    </xf>
    <xf numFmtId="170" fontId="1" fillId="0" borderId="1" xfId="0" applyNumberFormat="1" applyFont="1" applyBorder="1" applyAlignment="1">
      <alignment horizontal="center"/>
    </xf>
    <xf numFmtId="168" fontId="1" fillId="0" borderId="1" xfId="0" applyNumberFormat="1" applyFont="1" applyBorder="1" applyAlignment="1">
      <alignment horizontal="center"/>
    </xf>
    <xf numFmtId="170" fontId="1" fillId="5" borderId="1" xfId="0" applyNumberFormat="1" applyFont="1" applyFill="1" applyBorder="1" applyAlignment="1">
      <alignment horizontal="center"/>
    </xf>
    <xf numFmtId="0" fontId="0" fillId="8" borderId="0" xfId="0" applyFill="1"/>
    <xf numFmtId="171" fontId="3" fillId="3" borderId="1" xfId="0" applyNumberFormat="1" applyFont="1" applyFill="1" applyBorder="1" applyAlignment="1">
      <alignment horizontal="center" vertical="center" wrapText="1"/>
    </xf>
    <xf numFmtId="168" fontId="3" fillId="3" borderId="1" xfId="0" applyNumberFormat="1" applyFont="1" applyFill="1" applyBorder="1" applyAlignment="1">
      <alignment horizontal="center" vertical="center" wrapText="1"/>
    </xf>
    <xf numFmtId="170" fontId="1" fillId="0" borderId="1" xfId="0" applyNumberFormat="1" applyFont="1" applyBorder="1" applyAlignment="1">
      <alignment horizontal="right"/>
    </xf>
    <xf numFmtId="170" fontId="3" fillId="0" borderId="0" xfId="0" applyNumberFormat="1" applyFont="1" applyAlignment="1">
      <alignment horizontal="right"/>
    </xf>
    <xf numFmtId="0" fontId="0" fillId="8" borderId="1" xfId="0" applyFill="1" applyBorder="1"/>
    <xf numFmtId="170" fontId="3" fillId="0" borderId="0" xfId="0" applyNumberFormat="1" applyFont="1" applyAlignment="1">
      <alignment horizontal="center"/>
    </xf>
    <xf numFmtId="3" fontId="0" fillId="0" borderId="1" xfId="0" applyNumberFormat="1" applyBorder="1" applyAlignment="1">
      <alignment horizontal="center"/>
    </xf>
    <xf numFmtId="0" fontId="0" fillId="8" borderId="2" xfId="0" applyFill="1" applyBorder="1"/>
    <xf numFmtId="169" fontId="3" fillId="0" borderId="0" xfId="0" applyNumberFormat="1" applyFont="1" applyAlignment="1">
      <alignment horizontal="center"/>
    </xf>
    <xf numFmtId="170" fontId="1" fillId="6" borderId="1" xfId="0" applyNumberFormat="1" applyFont="1" applyFill="1" applyBorder="1" applyAlignment="1">
      <alignment horizontal="right"/>
    </xf>
    <xf numFmtId="0" fontId="0" fillId="8" borderId="0" xfId="0" applyFill="1" applyAlignment="1">
      <alignment vertical="top"/>
    </xf>
    <xf numFmtId="0" fontId="0" fillId="8" borderId="0" xfId="0" applyFill="1" applyAlignment="1">
      <alignment vertical="center"/>
    </xf>
    <xf numFmtId="171" fontId="3" fillId="3" borderId="62" xfId="0" applyNumberFormat="1" applyFont="1" applyFill="1" applyBorder="1" applyAlignment="1">
      <alignment horizontal="center" vertical="center" wrapText="1"/>
    </xf>
    <xf numFmtId="0" fontId="3" fillId="3" borderId="62" xfId="0" applyFont="1" applyFill="1" applyBorder="1" applyAlignment="1">
      <alignment horizontal="center" vertical="center"/>
    </xf>
    <xf numFmtId="4" fontId="3" fillId="3" borderId="1" xfId="0" applyNumberFormat="1" applyFont="1" applyFill="1" applyBorder="1" applyAlignment="1">
      <alignment horizontal="center"/>
    </xf>
    <xf numFmtId="165" fontId="3" fillId="3" borderId="1" xfId="0" applyNumberFormat="1" applyFont="1" applyFill="1" applyBorder="1" applyAlignment="1">
      <alignment horizontal="center"/>
    </xf>
    <xf numFmtId="166" fontId="3" fillId="3" borderId="1" xfId="0" applyNumberFormat="1" applyFont="1" applyFill="1" applyBorder="1" applyAlignment="1">
      <alignment horizontal="center"/>
    </xf>
    <xf numFmtId="3" fontId="3" fillId="3" borderId="3" xfId="0" applyNumberFormat="1" applyFont="1" applyFill="1" applyBorder="1" applyAlignment="1">
      <alignment horizontal="center" vertical="center"/>
    </xf>
    <xf numFmtId="3" fontId="3" fillId="3" borderId="1" xfId="0" applyNumberFormat="1" applyFont="1" applyFill="1" applyBorder="1" applyAlignment="1">
      <alignment horizontal="center" vertical="center"/>
    </xf>
    <xf numFmtId="3" fontId="3" fillId="3" borderId="2" xfId="0" applyNumberFormat="1" applyFont="1" applyFill="1" applyBorder="1" applyAlignment="1">
      <alignment horizontal="center" vertical="center"/>
    </xf>
    <xf numFmtId="3" fontId="3" fillId="3" borderId="6" xfId="0" applyNumberFormat="1" applyFont="1" applyFill="1" applyBorder="1" applyAlignment="1">
      <alignment horizontal="center" vertical="center"/>
    </xf>
    <xf numFmtId="3" fontId="3" fillId="3" borderId="7" xfId="0" applyNumberFormat="1" applyFont="1" applyFill="1" applyBorder="1" applyAlignment="1">
      <alignment horizontal="center" vertical="center"/>
    </xf>
    <xf numFmtId="3" fontId="3" fillId="3" borderId="8" xfId="0" applyNumberFormat="1" applyFont="1" applyFill="1" applyBorder="1" applyAlignment="1">
      <alignment horizontal="center" vertical="center"/>
    </xf>
    <xf numFmtId="165" fontId="3" fillId="0" borderId="18" xfId="0" applyNumberFormat="1" applyFont="1" applyBorder="1" applyAlignment="1">
      <alignment horizontal="center"/>
    </xf>
    <xf numFmtId="165" fontId="3" fillId="0" borderId="19" xfId="0" applyNumberFormat="1" applyFont="1" applyBorder="1" applyAlignment="1">
      <alignment horizontal="center"/>
    </xf>
    <xf numFmtId="3" fontId="0" fillId="3" borderId="11" xfId="0" applyNumberFormat="1" applyFill="1" applyBorder="1" applyAlignment="1">
      <alignment horizontal="center"/>
    </xf>
    <xf numFmtId="3" fontId="0" fillId="3" borderId="9" xfId="0" applyNumberFormat="1" applyFill="1" applyBorder="1" applyAlignment="1">
      <alignment horizontal="center"/>
    </xf>
    <xf numFmtId="3" fontId="3" fillId="0" borderId="18" xfId="0" applyNumberFormat="1" applyFont="1" applyBorder="1" applyAlignment="1">
      <alignment horizontal="center"/>
    </xf>
    <xf numFmtId="3" fontId="3" fillId="0" borderId="19" xfId="0" applyNumberFormat="1" applyFont="1" applyBorder="1" applyAlignment="1">
      <alignment horizontal="center"/>
    </xf>
    <xf numFmtId="3" fontId="3" fillId="0" borderId="12" xfId="0" applyNumberFormat="1" applyFont="1" applyBorder="1" applyAlignment="1">
      <alignment horizontal="center"/>
    </xf>
    <xf numFmtId="0" fontId="3" fillId="0" borderId="22" xfId="0" applyFont="1" applyBorder="1" applyAlignment="1">
      <alignment horizontal="center"/>
    </xf>
    <xf numFmtId="0" fontId="3" fillId="0" borderId="23" xfId="0" applyFont="1" applyBorder="1" applyAlignment="1">
      <alignment horizontal="center"/>
    </xf>
    <xf numFmtId="3" fontId="3" fillId="0" borderId="14" xfId="0" applyNumberFormat="1" applyFont="1" applyBorder="1" applyAlignment="1">
      <alignment horizontal="center"/>
    </xf>
    <xf numFmtId="3" fontId="3" fillId="0" borderId="15" xfId="0" applyNumberFormat="1" applyFont="1" applyBorder="1" applyAlignment="1">
      <alignment horizontal="center"/>
    </xf>
    <xf numFmtId="3" fontId="3" fillId="0" borderId="16" xfId="0" applyNumberFormat="1" applyFont="1" applyBorder="1" applyAlignment="1">
      <alignment horizontal="center"/>
    </xf>
    <xf numFmtId="3" fontId="3" fillId="0" borderId="17" xfId="0" applyNumberFormat="1" applyFont="1" applyBorder="1" applyAlignment="1">
      <alignment horizontal="center"/>
    </xf>
    <xf numFmtId="3" fontId="0" fillId="3" borderId="5" xfId="0" applyNumberFormat="1" applyFill="1" applyBorder="1" applyAlignment="1">
      <alignment horizontal="center"/>
    </xf>
    <xf numFmtId="3" fontId="0" fillId="3" borderId="13" xfId="0" applyNumberFormat="1" applyFill="1" applyBorder="1" applyAlignment="1">
      <alignment horizontal="center"/>
    </xf>
    <xf numFmtId="3" fontId="0" fillId="3" borderId="10" xfId="0" applyNumberFormat="1" applyFill="1" applyBorder="1" applyAlignment="1">
      <alignment horizontal="center"/>
    </xf>
    <xf numFmtId="3" fontId="3" fillId="3" borderId="26" xfId="0" applyNumberFormat="1" applyFont="1" applyFill="1" applyBorder="1" applyAlignment="1">
      <alignment horizontal="center" vertical="center"/>
    </xf>
    <xf numFmtId="3" fontId="3" fillId="3" borderId="42" xfId="0" applyNumberFormat="1" applyFont="1" applyFill="1" applyBorder="1" applyAlignment="1">
      <alignment horizontal="center" vertical="center"/>
    </xf>
    <xf numFmtId="3" fontId="3" fillId="3" borderId="31" xfId="0" applyNumberFormat="1" applyFont="1" applyFill="1" applyBorder="1" applyAlignment="1">
      <alignment horizontal="center" vertical="center"/>
    </xf>
    <xf numFmtId="3" fontId="3" fillId="3" borderId="30" xfId="0" applyNumberFormat="1" applyFont="1" applyFill="1" applyBorder="1" applyAlignment="1">
      <alignment horizontal="center" vertical="center"/>
    </xf>
    <xf numFmtId="3" fontId="3" fillId="3" borderId="46" xfId="0" applyNumberFormat="1" applyFont="1" applyFill="1" applyBorder="1" applyAlignment="1">
      <alignment horizontal="center" vertical="center"/>
    </xf>
    <xf numFmtId="0" fontId="3" fillId="0" borderId="29" xfId="0" applyFont="1" applyBorder="1" applyAlignment="1">
      <alignment horizontal="center"/>
    </xf>
    <xf numFmtId="0" fontId="3" fillId="0" borderId="26" xfId="0" applyFont="1" applyBorder="1" applyAlignment="1">
      <alignment horizontal="center"/>
    </xf>
    <xf numFmtId="3" fontId="3" fillId="0" borderId="29" xfId="0" applyNumberFormat="1" applyFont="1" applyBorder="1" applyAlignment="1">
      <alignment horizontal="center"/>
    </xf>
    <xf numFmtId="3" fontId="3" fillId="0" borderId="44" xfId="0" applyNumberFormat="1" applyFont="1" applyBorder="1" applyAlignment="1">
      <alignment horizontal="center"/>
    </xf>
    <xf numFmtId="3" fontId="3" fillId="0" borderId="40" xfId="0" applyNumberFormat="1" applyFont="1" applyBorder="1" applyAlignment="1">
      <alignment horizontal="center"/>
    </xf>
    <xf numFmtId="3" fontId="3" fillId="0" borderId="39" xfId="0" applyNumberFormat="1" applyFont="1" applyBorder="1" applyAlignment="1">
      <alignment horizontal="center"/>
    </xf>
    <xf numFmtId="3" fontId="3" fillId="0" borderId="48" xfId="0" applyNumberFormat="1" applyFont="1" applyBorder="1" applyAlignment="1">
      <alignment horizontal="center"/>
    </xf>
    <xf numFmtId="3" fontId="3" fillId="0" borderId="0" xfId="0" applyNumberFormat="1" applyFont="1" applyAlignment="1">
      <alignment horizontal="center"/>
    </xf>
    <xf numFmtId="3" fontId="0" fillId="0" borderId="34" xfId="0" applyNumberFormat="1" applyBorder="1" applyAlignment="1">
      <alignment horizontal="center"/>
    </xf>
    <xf numFmtId="3" fontId="0" fillId="0" borderId="43" xfId="0" applyNumberFormat="1" applyBorder="1" applyAlignment="1">
      <alignment horizontal="center"/>
    </xf>
    <xf numFmtId="3" fontId="0" fillId="0" borderId="37" xfId="0" applyNumberFormat="1" applyBorder="1" applyAlignment="1">
      <alignment horizontal="center"/>
    </xf>
    <xf numFmtId="3" fontId="0" fillId="0" borderId="36" xfId="0" applyNumberFormat="1" applyBorder="1" applyAlignment="1">
      <alignment horizontal="center"/>
    </xf>
    <xf numFmtId="3" fontId="0" fillId="0" borderId="47" xfId="0" applyNumberFormat="1" applyBorder="1" applyAlignment="1">
      <alignment horizontal="center"/>
    </xf>
    <xf numFmtId="165" fontId="0" fillId="0" borderId="27" xfId="0" applyNumberFormat="1" applyBorder="1" applyAlignment="1">
      <alignment horizontal="center"/>
    </xf>
    <xf numFmtId="165" fontId="0" fillId="0" borderId="28" xfId="0" applyNumberFormat="1" applyBorder="1" applyAlignment="1">
      <alignment horizontal="center"/>
    </xf>
    <xf numFmtId="165" fontId="3" fillId="6" borderId="29" xfId="0" applyNumberFormat="1" applyFont="1" applyFill="1" applyBorder="1" applyAlignment="1">
      <alignment horizontal="center"/>
    </xf>
    <xf numFmtId="3" fontId="3" fillId="6" borderId="45" xfId="0" applyNumberFormat="1" applyFont="1" applyFill="1" applyBorder="1" applyAlignment="1">
      <alignment horizontal="center"/>
    </xf>
    <xf numFmtId="3" fontId="3" fillId="6" borderId="29" xfId="0" applyNumberFormat="1" applyFont="1" applyFill="1" applyBorder="1" applyAlignment="1">
      <alignment horizontal="center"/>
    </xf>
    <xf numFmtId="3" fontId="3" fillId="6" borderId="49" xfId="0" applyNumberFormat="1" applyFont="1" applyFill="1" applyBorder="1" applyAlignment="1">
      <alignment horizontal="center"/>
    </xf>
    <xf numFmtId="168" fontId="3" fillId="6" borderId="26" xfId="0" applyNumberFormat="1" applyFont="1" applyFill="1" applyBorder="1" applyAlignment="1">
      <alignment horizontal="center"/>
    </xf>
    <xf numFmtId="3" fontId="3" fillId="0" borderId="27" xfId="0" applyNumberFormat="1" applyFont="1" applyBorder="1" applyAlignment="1">
      <alignment horizontal="center"/>
    </xf>
    <xf numFmtId="3" fontId="3" fillId="0" borderId="28" xfId="0" applyNumberFormat="1" applyFont="1" applyBorder="1" applyAlignment="1">
      <alignment horizontal="center"/>
    </xf>
    <xf numFmtId="3" fontId="3" fillId="3" borderId="1" xfId="0" applyNumberFormat="1" applyFont="1" applyFill="1" applyBorder="1" applyAlignment="1">
      <alignment horizontal="center"/>
    </xf>
    <xf numFmtId="3" fontId="3" fillId="3" borderId="2" xfId="0" applyNumberFormat="1" applyFont="1" applyFill="1" applyBorder="1" applyAlignment="1">
      <alignment horizontal="center"/>
    </xf>
    <xf numFmtId="3" fontId="3" fillId="3" borderId="3" xfId="0" applyNumberFormat="1" applyFont="1" applyFill="1" applyBorder="1" applyAlignment="1">
      <alignment horizontal="center"/>
    </xf>
    <xf numFmtId="167" fontId="3" fillId="3" borderId="1" xfId="0" applyNumberFormat="1" applyFont="1" applyFill="1" applyBorder="1" applyAlignment="1">
      <alignment horizontal="center"/>
    </xf>
    <xf numFmtId="165" fontId="0" fillId="0" borderId="0" xfId="0" applyNumberFormat="1" applyAlignment="1">
      <alignment horizontal="left"/>
    </xf>
    <xf numFmtId="165" fontId="3" fillId="3" borderId="2" xfId="0" applyNumberFormat="1" applyFont="1" applyFill="1" applyBorder="1" applyAlignment="1">
      <alignment horizontal="center"/>
    </xf>
    <xf numFmtId="165" fontId="3" fillId="3" borderId="3" xfId="0" applyNumberFormat="1" applyFont="1" applyFill="1" applyBorder="1" applyAlignment="1">
      <alignment horizontal="center"/>
    </xf>
    <xf numFmtId="165" fontId="3" fillId="6" borderId="50" xfId="0" applyNumberFormat="1" applyFont="1" applyFill="1" applyBorder="1" applyAlignment="1">
      <alignment horizontal="center"/>
    </xf>
    <xf numFmtId="165" fontId="3" fillId="6" borderId="59" xfId="0" applyNumberFormat="1" applyFont="1" applyFill="1" applyBorder="1" applyAlignment="1">
      <alignment horizontal="center"/>
    </xf>
    <xf numFmtId="3" fontId="3" fillId="0" borderId="50" xfId="0" applyNumberFormat="1" applyFont="1" applyBorder="1" applyAlignment="1">
      <alignment horizontal="center"/>
    </xf>
    <xf numFmtId="3" fontId="3" fillId="0" borderId="59" xfId="0" applyNumberFormat="1" applyFont="1" applyBorder="1" applyAlignment="1">
      <alignment horizontal="center"/>
    </xf>
    <xf numFmtId="3" fontId="3" fillId="0" borderId="60" xfId="0" applyNumberFormat="1" applyFont="1" applyBorder="1" applyAlignment="1">
      <alignment horizontal="center"/>
    </xf>
    <xf numFmtId="3" fontId="3" fillId="0" borderId="61" xfId="0" applyNumberFormat="1" applyFont="1" applyBorder="1" applyAlignment="1">
      <alignment horizontal="center"/>
    </xf>
    <xf numFmtId="168" fontId="3" fillId="6" borderId="27" xfId="0" applyNumberFormat="1" applyFont="1" applyFill="1" applyBorder="1" applyAlignment="1">
      <alignment horizontal="center"/>
    </xf>
    <xf numFmtId="168" fontId="3" fillId="6" borderId="28" xfId="0" applyNumberFormat="1" applyFont="1" applyFill="1" applyBorder="1" applyAlignment="1">
      <alignment horizontal="center"/>
    </xf>
    <xf numFmtId="3" fontId="3" fillId="7" borderId="27" xfId="0" applyNumberFormat="1" applyFont="1" applyFill="1" applyBorder="1" applyAlignment="1">
      <alignment horizontal="center"/>
    </xf>
    <xf numFmtId="3" fontId="3" fillId="7" borderId="51" xfId="0" applyNumberFormat="1" applyFont="1" applyFill="1" applyBorder="1" applyAlignment="1">
      <alignment horizontal="center"/>
    </xf>
    <xf numFmtId="3" fontId="3" fillId="7" borderId="28" xfId="0" applyNumberFormat="1" applyFont="1" applyFill="1" applyBorder="1" applyAlignment="1">
      <alignment horizontal="center"/>
    </xf>
    <xf numFmtId="3" fontId="0" fillId="0" borderId="35" xfId="0" applyNumberFormat="1" applyBorder="1" applyAlignment="1">
      <alignment horizontal="center"/>
    </xf>
    <xf numFmtId="3" fontId="0" fillId="0" borderId="38" xfId="0" applyNumberFormat="1" applyBorder="1" applyAlignment="1">
      <alignment horizontal="center"/>
    </xf>
    <xf numFmtId="3" fontId="3" fillId="7" borderId="50" xfId="0" applyNumberFormat="1" applyFont="1" applyFill="1" applyBorder="1" applyAlignment="1">
      <alignment horizontal="center"/>
    </xf>
    <xf numFmtId="3" fontId="3" fillId="7" borderId="59" xfId="0" applyNumberFormat="1" applyFont="1" applyFill="1" applyBorder="1" applyAlignment="1">
      <alignment horizontal="center"/>
    </xf>
    <xf numFmtId="3" fontId="3" fillId="3" borderId="53" xfId="0" applyNumberFormat="1" applyFont="1" applyFill="1" applyBorder="1" applyAlignment="1">
      <alignment horizontal="center" vertical="center"/>
    </xf>
    <xf numFmtId="3" fontId="3" fillId="3" borderId="52" xfId="0" applyNumberFormat="1" applyFont="1" applyFill="1" applyBorder="1" applyAlignment="1">
      <alignment horizontal="center" vertical="center"/>
    </xf>
    <xf numFmtId="3" fontId="3" fillId="3" borderId="27" xfId="0" applyNumberFormat="1" applyFont="1" applyFill="1" applyBorder="1" applyAlignment="1">
      <alignment horizontal="center" vertical="center"/>
    </xf>
    <xf numFmtId="3" fontId="3" fillId="3" borderId="28" xfId="0" applyNumberFormat="1" applyFont="1" applyFill="1" applyBorder="1" applyAlignment="1">
      <alignment horizontal="center" vertical="center"/>
    </xf>
    <xf numFmtId="3" fontId="3" fillId="3" borderId="41" xfId="0" applyNumberFormat="1" applyFont="1" applyFill="1" applyBorder="1" applyAlignment="1">
      <alignment horizontal="center" vertical="center"/>
    </xf>
    <xf numFmtId="3" fontId="3" fillId="3" borderId="54" xfId="0" applyNumberFormat="1" applyFont="1" applyFill="1" applyBorder="1" applyAlignment="1">
      <alignment horizontal="center" vertical="center"/>
    </xf>
    <xf numFmtId="3" fontId="3" fillId="3" borderId="0" xfId="0" applyNumberFormat="1" applyFont="1" applyFill="1" applyAlignment="1">
      <alignment horizontal="center" vertical="center"/>
    </xf>
    <xf numFmtId="3" fontId="0" fillId="0" borderId="0" xfId="0" applyNumberFormat="1" applyAlignment="1">
      <alignment horizontal="center"/>
    </xf>
    <xf numFmtId="0" fontId="3" fillId="3" borderId="1" xfId="0" applyFont="1" applyFill="1" applyBorder="1" applyAlignment="1">
      <alignment horizontal="center" vertical="center"/>
    </xf>
    <xf numFmtId="3" fontId="3" fillId="3" borderId="63" xfId="0" applyNumberFormat="1" applyFont="1" applyFill="1" applyBorder="1" applyAlignment="1">
      <alignment horizontal="center" vertical="center" wrapText="1"/>
    </xf>
    <xf numFmtId="3" fontId="3" fillId="3" borderId="64" xfId="0" applyNumberFormat="1" applyFont="1" applyFill="1" applyBorder="1" applyAlignment="1">
      <alignment horizontal="center" vertical="center" wrapText="1"/>
    </xf>
    <xf numFmtId="3" fontId="3" fillId="3" borderId="65" xfId="0" applyNumberFormat="1" applyFont="1" applyFill="1" applyBorder="1" applyAlignment="1">
      <alignment horizontal="center" vertical="center" wrapText="1"/>
    </xf>
    <xf numFmtId="174" fontId="0" fillId="0" borderId="1" xfId="0" applyNumberFormat="1" applyBorder="1" applyAlignment="1">
      <alignment horizontal="center"/>
    </xf>
    <xf numFmtId="172" fontId="3" fillId="0" borderId="0" xfId="0" applyNumberFormat="1" applyFont="1" applyAlignment="1">
      <alignment horizontal="center"/>
    </xf>
    <xf numFmtId="167" fontId="3" fillId="0" borderId="66" xfId="0" applyNumberFormat="1" applyFont="1" applyBorder="1" applyAlignment="1">
      <alignment horizontal="center"/>
    </xf>
    <xf numFmtId="170" fontId="4" fillId="9" borderId="0" xfId="0" applyNumberFormat="1" applyFont="1" applyFill="1"/>
    <xf numFmtId="170" fontId="4" fillId="9" borderId="0" xfId="0" applyNumberFormat="1" applyFont="1" applyFill="1" applyAlignment="1">
      <alignment horizontal="right"/>
    </xf>
    <xf numFmtId="170" fontId="3" fillId="0" borderId="0" xfId="0" applyNumberFormat="1" applyFont="1" applyAlignment="1"/>
    <xf numFmtId="0" fontId="3" fillId="10" borderId="1" xfId="0" applyFont="1" applyFill="1" applyBorder="1" applyAlignment="1">
      <alignment horizontal="center"/>
    </xf>
    <xf numFmtId="169" fontId="0" fillId="10" borderId="1" xfId="0" applyNumberFormat="1" applyFill="1" applyBorder="1" applyAlignment="1">
      <alignment horizontal="center"/>
    </xf>
    <xf numFmtId="3" fontId="0" fillId="10" borderId="1" xfId="0" applyNumberFormat="1" applyFill="1" applyBorder="1" applyAlignment="1">
      <alignment horizontal="center"/>
    </xf>
    <xf numFmtId="170" fontId="1" fillId="10" borderId="1" xfId="0" applyNumberFormat="1" applyFont="1" applyFill="1" applyBorder="1" applyAlignment="1">
      <alignment horizontal="right"/>
    </xf>
    <xf numFmtId="174" fontId="0" fillId="10" borderId="1" xfId="0" applyNumberForma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T25"/>
  <sheetViews>
    <sheetView showGridLines="0" showZeros="0" zoomScale="115" zoomScaleNormal="115" workbookViewId="0">
      <selection activeCell="H12" sqref="H12"/>
    </sheetView>
  </sheetViews>
  <sheetFormatPr defaultRowHeight="15" x14ac:dyDescent="0.25"/>
  <cols>
    <col min="1" max="1" width="2.5703125" customWidth="1"/>
    <col min="2" max="2" width="10.140625" style="1" customWidth="1"/>
    <col min="3" max="3" width="2" customWidth="1"/>
    <col min="4" max="5" width="8.5703125" style="8" customWidth="1"/>
    <col min="6" max="6" width="2" customWidth="1"/>
    <col min="7" max="7" width="9.28515625" style="21" customWidth="1"/>
    <col min="8" max="8" width="10.140625" style="21" customWidth="1"/>
    <col min="9" max="9" width="2" customWidth="1"/>
    <col min="10" max="11" width="8.85546875" style="8" customWidth="1"/>
    <col min="12" max="12" width="2" customWidth="1"/>
    <col min="13" max="14" width="9" style="8" customWidth="1"/>
    <col min="15" max="15" width="2" customWidth="1"/>
    <col min="16" max="17" width="8.7109375" style="8" customWidth="1"/>
    <col min="18" max="18" width="2" customWidth="1"/>
    <col min="19" max="20" width="8.7109375" style="32"/>
  </cols>
  <sheetData>
    <row r="2" spans="2:20" x14ac:dyDescent="0.25">
      <c r="C2" s="23"/>
      <c r="D2" s="136" t="s">
        <v>0</v>
      </c>
      <c r="E2" s="136"/>
      <c r="F2" s="23"/>
      <c r="G2" s="136"/>
      <c r="H2" s="136"/>
      <c r="I2" s="25"/>
      <c r="J2" s="136" t="s">
        <v>1</v>
      </c>
      <c r="K2" s="136"/>
      <c r="L2" s="25"/>
      <c r="M2" s="136" t="s">
        <v>2</v>
      </c>
      <c r="N2" s="136"/>
      <c r="O2" s="23"/>
      <c r="P2" s="135" t="s">
        <v>3</v>
      </c>
      <c r="Q2" s="135"/>
      <c r="R2" s="23"/>
      <c r="S2" s="137" t="s">
        <v>4</v>
      </c>
      <c r="T2" s="137"/>
    </row>
    <row r="3" spans="2:20" x14ac:dyDescent="0.25">
      <c r="C3" s="23"/>
      <c r="D3" s="136" t="s">
        <v>5</v>
      </c>
      <c r="E3" s="136"/>
      <c r="F3" s="23"/>
      <c r="G3" s="136" t="s">
        <v>6</v>
      </c>
      <c r="H3" s="136"/>
      <c r="I3" s="25"/>
      <c r="J3" s="136" t="s">
        <v>7</v>
      </c>
      <c r="K3" s="136"/>
      <c r="L3" s="25"/>
      <c r="M3" s="136" t="s">
        <v>8</v>
      </c>
      <c r="N3" s="136"/>
      <c r="O3" s="23"/>
      <c r="P3" s="26" t="s">
        <v>9</v>
      </c>
      <c r="Q3" s="27"/>
      <c r="R3" s="23"/>
      <c r="S3" s="28" t="s">
        <v>10</v>
      </c>
      <c r="T3" s="29"/>
    </row>
    <row r="4" spans="2:20" x14ac:dyDescent="0.25">
      <c r="B4" s="2" t="s">
        <v>11</v>
      </c>
      <c r="C4" s="23"/>
      <c r="D4" s="9">
        <v>2.75</v>
      </c>
      <c r="E4" s="9">
        <v>2.75</v>
      </c>
      <c r="F4" s="23"/>
      <c r="G4" s="19">
        <v>20</v>
      </c>
      <c r="H4" s="19">
        <v>75</v>
      </c>
      <c r="J4" s="9">
        <f t="shared" ref="J4:K11" si="0">14*G4/$H$12</f>
        <v>0.25925925925925924</v>
      </c>
      <c r="K4" s="9">
        <f t="shared" si="0"/>
        <v>0.97222222222222221</v>
      </c>
      <c r="M4" s="9"/>
      <c r="N4" s="9">
        <v>0.875</v>
      </c>
      <c r="O4" s="23"/>
      <c r="P4" s="9">
        <f>+J4+M4</f>
        <v>0.25925925925925924</v>
      </c>
      <c r="Q4" s="9">
        <f t="shared" ref="Q4:Q11" si="1">+K4+N4</f>
        <v>1.8472222222222223</v>
      </c>
      <c r="R4" s="23"/>
      <c r="S4" s="30">
        <f>+D4-P4</f>
        <v>2.4907407407407409</v>
      </c>
      <c r="T4" s="30">
        <f t="shared" ref="T4:T11" si="2">+E4-Q4</f>
        <v>0.90277777777777768</v>
      </c>
    </row>
    <row r="5" spans="2:20" x14ac:dyDescent="0.25">
      <c r="B5" s="2" t="s">
        <v>12</v>
      </c>
      <c r="C5" s="23"/>
      <c r="D5" s="9">
        <v>3</v>
      </c>
      <c r="E5" s="9">
        <v>3</v>
      </c>
      <c r="F5" s="23"/>
      <c r="G5" s="19">
        <v>95</v>
      </c>
      <c r="H5" s="19">
        <v>95</v>
      </c>
      <c r="J5" s="9">
        <f t="shared" si="0"/>
        <v>1.2314814814814814</v>
      </c>
      <c r="K5" s="9">
        <f t="shared" si="0"/>
        <v>1.2314814814814814</v>
      </c>
      <c r="M5" s="9">
        <v>1.75</v>
      </c>
      <c r="N5" s="9">
        <v>1.75</v>
      </c>
      <c r="O5" s="23"/>
      <c r="P5" s="9">
        <f t="shared" ref="P5:P11" si="3">+J5+M5</f>
        <v>2.9814814814814814</v>
      </c>
      <c r="Q5" s="9">
        <f t="shared" si="1"/>
        <v>2.9814814814814814</v>
      </c>
      <c r="R5" s="23"/>
      <c r="S5" s="30">
        <f t="shared" ref="S5:S11" si="4">+D5-P5</f>
        <v>1.8518518518518601E-2</v>
      </c>
      <c r="T5" s="30">
        <f t="shared" si="2"/>
        <v>1.8518518518518601E-2</v>
      </c>
    </row>
    <row r="6" spans="2:20" x14ac:dyDescent="0.25">
      <c r="B6" s="2" t="s">
        <v>13</v>
      </c>
      <c r="C6" s="23"/>
      <c r="D6" s="12">
        <v>3</v>
      </c>
      <c r="E6" s="12">
        <v>3</v>
      </c>
      <c r="F6" s="23"/>
      <c r="G6" s="20"/>
      <c r="H6" s="20"/>
      <c r="J6" s="12">
        <f t="shared" si="0"/>
        <v>0</v>
      </c>
      <c r="K6" s="12">
        <f t="shared" si="0"/>
        <v>0</v>
      </c>
      <c r="M6" s="12"/>
      <c r="N6" s="12"/>
      <c r="O6" s="23"/>
      <c r="P6" s="12">
        <f t="shared" si="3"/>
        <v>0</v>
      </c>
      <c r="Q6" s="12">
        <f t="shared" si="1"/>
        <v>0</v>
      </c>
      <c r="R6" s="23"/>
      <c r="S6" s="31">
        <f t="shared" si="4"/>
        <v>3</v>
      </c>
      <c r="T6" s="31">
        <f t="shared" si="2"/>
        <v>3</v>
      </c>
    </row>
    <row r="7" spans="2:20" x14ac:dyDescent="0.25">
      <c r="B7" s="2" t="s">
        <v>14</v>
      </c>
      <c r="C7" s="23"/>
      <c r="D7" s="9">
        <v>3</v>
      </c>
      <c r="E7" s="9">
        <v>3</v>
      </c>
      <c r="F7" s="23"/>
      <c r="G7" s="19">
        <v>95</v>
      </c>
      <c r="H7" s="19">
        <v>95</v>
      </c>
      <c r="J7" s="9">
        <f t="shared" si="0"/>
        <v>1.2314814814814814</v>
      </c>
      <c r="K7" s="9">
        <f t="shared" si="0"/>
        <v>1.2314814814814814</v>
      </c>
      <c r="M7" s="9">
        <v>1.75</v>
      </c>
      <c r="N7" s="9">
        <v>1.75</v>
      </c>
      <c r="O7" s="23"/>
      <c r="P7" s="9">
        <f t="shared" si="3"/>
        <v>2.9814814814814814</v>
      </c>
      <c r="Q7" s="9">
        <f t="shared" si="1"/>
        <v>2.9814814814814814</v>
      </c>
      <c r="R7" s="23"/>
      <c r="S7" s="30">
        <f t="shared" si="4"/>
        <v>1.8518518518518601E-2</v>
      </c>
      <c r="T7" s="30">
        <f t="shared" si="2"/>
        <v>1.8518518518518601E-2</v>
      </c>
    </row>
    <row r="8" spans="2:20" x14ac:dyDescent="0.25">
      <c r="B8" s="2" t="s">
        <v>15</v>
      </c>
      <c r="C8" s="23"/>
      <c r="D8" s="9">
        <v>3</v>
      </c>
      <c r="E8" s="9">
        <v>3</v>
      </c>
      <c r="F8" s="23"/>
      <c r="G8" s="19">
        <v>95</v>
      </c>
      <c r="H8" s="19">
        <v>95</v>
      </c>
      <c r="J8" s="9">
        <f t="shared" si="0"/>
        <v>1.2314814814814814</v>
      </c>
      <c r="K8" s="9">
        <f t="shared" si="0"/>
        <v>1.2314814814814814</v>
      </c>
      <c r="M8" s="9">
        <v>1.75</v>
      </c>
      <c r="N8" s="9">
        <v>1.75</v>
      </c>
      <c r="O8" s="23"/>
      <c r="P8" s="9">
        <f t="shared" si="3"/>
        <v>2.9814814814814814</v>
      </c>
      <c r="Q8" s="9">
        <f t="shared" si="1"/>
        <v>2.9814814814814814</v>
      </c>
      <c r="R8" s="23"/>
      <c r="S8" s="30">
        <f t="shared" si="4"/>
        <v>1.8518518518518601E-2</v>
      </c>
      <c r="T8" s="30">
        <f t="shared" si="2"/>
        <v>1.8518518518518601E-2</v>
      </c>
    </row>
    <row r="9" spans="2:20" x14ac:dyDescent="0.25">
      <c r="B9" s="2" t="s">
        <v>16</v>
      </c>
      <c r="C9" s="23"/>
      <c r="D9" s="9">
        <v>3</v>
      </c>
      <c r="E9" s="9">
        <v>3</v>
      </c>
      <c r="F9" s="23"/>
      <c r="G9" s="19">
        <v>95</v>
      </c>
      <c r="H9" s="19">
        <v>95</v>
      </c>
      <c r="J9" s="9">
        <f t="shared" si="0"/>
        <v>1.2314814814814814</v>
      </c>
      <c r="K9" s="9">
        <f t="shared" si="0"/>
        <v>1.2314814814814814</v>
      </c>
      <c r="M9" s="9">
        <v>1.75</v>
      </c>
      <c r="N9" s="9">
        <v>1.75</v>
      </c>
      <c r="O9" s="23"/>
      <c r="P9" s="9">
        <f t="shared" si="3"/>
        <v>2.9814814814814814</v>
      </c>
      <c r="Q9" s="9">
        <f t="shared" si="1"/>
        <v>2.9814814814814814</v>
      </c>
      <c r="R9" s="23"/>
      <c r="S9" s="30">
        <f t="shared" si="4"/>
        <v>1.8518518518518601E-2</v>
      </c>
      <c r="T9" s="30">
        <f t="shared" si="2"/>
        <v>1.8518518518518601E-2</v>
      </c>
    </row>
    <row r="10" spans="2:20" x14ac:dyDescent="0.25">
      <c r="B10" s="2" t="s">
        <v>17</v>
      </c>
      <c r="C10" s="23"/>
      <c r="D10" s="9">
        <v>2.5</v>
      </c>
      <c r="E10" s="9">
        <v>2.5</v>
      </c>
      <c r="F10" s="23"/>
      <c r="G10" s="19">
        <v>75</v>
      </c>
      <c r="H10" s="19">
        <v>75</v>
      </c>
      <c r="J10" s="9">
        <f t="shared" si="0"/>
        <v>0.97222222222222221</v>
      </c>
      <c r="K10" s="9">
        <f t="shared" si="0"/>
        <v>0.97222222222222221</v>
      </c>
      <c r="M10" s="9">
        <v>1.75</v>
      </c>
      <c r="N10" s="9">
        <v>1.75</v>
      </c>
      <c r="O10" s="23"/>
      <c r="P10" s="9">
        <f t="shared" si="3"/>
        <v>2.7222222222222223</v>
      </c>
      <c r="Q10" s="9">
        <f t="shared" si="1"/>
        <v>2.7222222222222223</v>
      </c>
      <c r="R10" s="23"/>
      <c r="S10" s="30">
        <f t="shared" si="4"/>
        <v>-0.22222222222222232</v>
      </c>
      <c r="T10" s="30">
        <f t="shared" si="2"/>
        <v>-0.22222222222222232</v>
      </c>
    </row>
    <row r="11" spans="2:20" x14ac:dyDescent="0.25">
      <c r="B11" s="2" t="s">
        <v>18</v>
      </c>
      <c r="C11" s="23"/>
      <c r="D11" s="9"/>
      <c r="E11" s="9">
        <v>2.5</v>
      </c>
      <c r="F11" s="23"/>
      <c r="G11" s="19"/>
      <c r="H11" s="19">
        <v>75</v>
      </c>
      <c r="J11" s="9">
        <f t="shared" si="0"/>
        <v>0</v>
      </c>
      <c r="K11" s="9">
        <f t="shared" si="0"/>
        <v>0.97222222222222221</v>
      </c>
      <c r="M11" s="9"/>
      <c r="N11" s="9">
        <v>0.875</v>
      </c>
      <c r="O11" s="23"/>
      <c r="P11" s="9">
        <f t="shared" si="3"/>
        <v>0</v>
      </c>
      <c r="Q11" s="9">
        <f t="shared" si="1"/>
        <v>1.8472222222222223</v>
      </c>
      <c r="R11" s="23"/>
      <c r="S11" s="30">
        <f t="shared" si="4"/>
        <v>0</v>
      </c>
      <c r="T11" s="30">
        <f t="shared" si="2"/>
        <v>0.65277777777777768</v>
      </c>
    </row>
    <row r="12" spans="2:20" x14ac:dyDescent="0.25">
      <c r="C12" s="23"/>
      <c r="E12" s="11">
        <f>SUM(D4:E11)</f>
        <v>43</v>
      </c>
      <c r="F12" s="23"/>
      <c r="H12" s="22">
        <f>SUM(G4:H11)</f>
        <v>1080</v>
      </c>
      <c r="K12" s="11">
        <f>SUM(J4:K11)</f>
        <v>13.999999999999995</v>
      </c>
      <c r="N12" s="11">
        <f>SUM(M4:N11)</f>
        <v>19.25</v>
      </c>
      <c r="O12" s="23"/>
      <c r="Q12" s="11">
        <f>SUM(P4:Q11)</f>
        <v>33.25</v>
      </c>
      <c r="R12" s="23"/>
      <c r="T12" s="33">
        <f>SUM(S4:T11)</f>
        <v>9.7500000000000036</v>
      </c>
    </row>
    <row r="13" spans="2:20" x14ac:dyDescent="0.25">
      <c r="C13" s="23"/>
      <c r="F13" s="23"/>
      <c r="O13" s="23"/>
      <c r="R13" s="23"/>
    </row>
    <row r="14" spans="2:20" x14ac:dyDescent="0.25">
      <c r="C14" s="23"/>
      <c r="D14" s="13" t="s">
        <v>5</v>
      </c>
      <c r="E14" s="14"/>
      <c r="F14" s="23"/>
      <c r="G14" s="17" t="s">
        <v>6</v>
      </c>
      <c r="H14" s="18"/>
      <c r="J14" s="13" t="s">
        <v>7</v>
      </c>
      <c r="K14" s="14"/>
      <c r="M14" s="13" t="s">
        <v>8</v>
      </c>
      <c r="N14" s="14"/>
      <c r="O14" s="23"/>
      <c r="P14" s="13" t="s">
        <v>9</v>
      </c>
      <c r="Q14" s="14"/>
      <c r="R14" s="23"/>
      <c r="S14" s="34" t="s">
        <v>9</v>
      </c>
      <c r="T14" s="35"/>
    </row>
    <row r="15" spans="2:20" x14ac:dyDescent="0.25">
      <c r="B15" s="2" t="s">
        <v>11</v>
      </c>
      <c r="C15" s="23"/>
      <c r="D15" s="9">
        <v>2.75</v>
      </c>
      <c r="E15" s="9">
        <v>2.75</v>
      </c>
      <c r="F15" s="23"/>
      <c r="G15" s="19">
        <v>20</v>
      </c>
      <c r="H15" s="19">
        <v>20</v>
      </c>
      <c r="J15" s="9">
        <f t="shared" ref="J15:K22" si="5">14*G15/$H$23</f>
        <v>0.25454545454545452</v>
      </c>
      <c r="K15" s="9">
        <f t="shared" si="5"/>
        <v>0.25454545454545452</v>
      </c>
      <c r="M15" s="9"/>
      <c r="N15" s="9"/>
      <c r="O15" s="23"/>
      <c r="P15" s="9">
        <f>+J15+M15</f>
        <v>0.25454545454545452</v>
      </c>
      <c r="Q15" s="9">
        <f t="shared" ref="Q15:Q22" si="6">+K15+N15</f>
        <v>0.25454545454545452</v>
      </c>
      <c r="R15" s="23"/>
      <c r="S15" s="30">
        <f>+D15-P15</f>
        <v>2.4954545454545456</v>
      </c>
      <c r="T15" s="30">
        <f t="shared" ref="T15:T22" si="7">+E15-Q15</f>
        <v>2.4954545454545456</v>
      </c>
    </row>
    <row r="16" spans="2:20" x14ac:dyDescent="0.25">
      <c r="B16" s="2" t="s">
        <v>12</v>
      </c>
      <c r="C16" s="23"/>
      <c r="D16" s="9">
        <v>3</v>
      </c>
      <c r="E16" s="9">
        <v>3</v>
      </c>
      <c r="F16" s="23"/>
      <c r="G16" s="19">
        <v>95</v>
      </c>
      <c r="H16" s="19">
        <v>95</v>
      </c>
      <c r="J16" s="9">
        <f t="shared" si="5"/>
        <v>1.209090909090909</v>
      </c>
      <c r="K16" s="9">
        <f t="shared" si="5"/>
        <v>1.209090909090909</v>
      </c>
      <c r="M16" s="9">
        <v>1.75</v>
      </c>
      <c r="N16" s="9">
        <v>1.75</v>
      </c>
      <c r="O16" s="23"/>
      <c r="P16" s="9">
        <f t="shared" ref="P16:P22" si="8">+J16+M16</f>
        <v>2.959090909090909</v>
      </c>
      <c r="Q16" s="9">
        <f t="shared" si="6"/>
        <v>2.959090909090909</v>
      </c>
      <c r="R16" s="23"/>
      <c r="S16" s="30">
        <f t="shared" ref="S16:S22" si="9">+D16-P16</f>
        <v>4.0909090909091006E-2</v>
      </c>
      <c r="T16" s="30">
        <f t="shared" si="7"/>
        <v>4.0909090909091006E-2</v>
      </c>
    </row>
    <row r="17" spans="2:20" x14ac:dyDescent="0.25">
      <c r="B17" s="2" t="s">
        <v>13</v>
      </c>
      <c r="C17" s="23"/>
      <c r="D17" s="12">
        <v>3</v>
      </c>
      <c r="E17" s="12">
        <v>3</v>
      </c>
      <c r="F17" s="23"/>
      <c r="G17" s="20"/>
      <c r="H17" s="20"/>
      <c r="J17" s="12">
        <f t="shared" si="5"/>
        <v>0</v>
      </c>
      <c r="K17" s="12">
        <f t="shared" si="5"/>
        <v>0</v>
      </c>
      <c r="M17" s="12"/>
      <c r="N17" s="12"/>
      <c r="O17" s="23"/>
      <c r="P17" s="12">
        <f t="shared" si="8"/>
        <v>0</v>
      </c>
      <c r="Q17" s="12">
        <f t="shared" si="6"/>
        <v>0</v>
      </c>
      <c r="R17" s="23"/>
      <c r="S17" s="31">
        <f t="shared" si="9"/>
        <v>3</v>
      </c>
      <c r="T17" s="31">
        <f t="shared" si="7"/>
        <v>3</v>
      </c>
    </row>
    <row r="18" spans="2:20" x14ac:dyDescent="0.25">
      <c r="B18" s="2" t="s">
        <v>14</v>
      </c>
      <c r="C18" s="23"/>
      <c r="D18" s="9">
        <v>3</v>
      </c>
      <c r="E18" s="9">
        <v>3</v>
      </c>
      <c r="F18" s="23"/>
      <c r="G18" s="19">
        <v>95</v>
      </c>
      <c r="H18" s="19">
        <v>95</v>
      </c>
      <c r="J18" s="9">
        <f t="shared" si="5"/>
        <v>1.209090909090909</v>
      </c>
      <c r="K18" s="9">
        <f t="shared" si="5"/>
        <v>1.209090909090909</v>
      </c>
      <c r="M18" s="9">
        <v>1.75</v>
      </c>
      <c r="N18" s="9">
        <v>1.75</v>
      </c>
      <c r="O18" s="23"/>
      <c r="P18" s="9">
        <f t="shared" si="8"/>
        <v>2.959090909090909</v>
      </c>
      <c r="Q18" s="9">
        <f t="shared" si="6"/>
        <v>2.959090909090909</v>
      </c>
      <c r="R18" s="23"/>
      <c r="S18" s="30">
        <f t="shared" si="9"/>
        <v>4.0909090909091006E-2</v>
      </c>
      <c r="T18" s="30">
        <f t="shared" si="7"/>
        <v>4.0909090909091006E-2</v>
      </c>
    </row>
    <row r="19" spans="2:20" x14ac:dyDescent="0.25">
      <c r="B19" s="2" t="s">
        <v>15</v>
      </c>
      <c r="C19" s="23"/>
      <c r="D19" s="9">
        <v>3</v>
      </c>
      <c r="E19" s="9">
        <v>3</v>
      </c>
      <c r="F19" s="23"/>
      <c r="G19" s="19">
        <v>95</v>
      </c>
      <c r="H19" s="19">
        <v>95</v>
      </c>
      <c r="J19" s="9">
        <f t="shared" si="5"/>
        <v>1.209090909090909</v>
      </c>
      <c r="K19" s="9">
        <f t="shared" si="5"/>
        <v>1.209090909090909</v>
      </c>
      <c r="M19" s="9">
        <v>1.75</v>
      </c>
      <c r="N19" s="9">
        <v>1.75</v>
      </c>
      <c r="O19" s="23"/>
      <c r="P19" s="9">
        <f t="shared" si="8"/>
        <v>2.959090909090909</v>
      </c>
      <c r="Q19" s="9">
        <f t="shared" si="6"/>
        <v>2.959090909090909</v>
      </c>
      <c r="R19" s="23"/>
      <c r="S19" s="30">
        <f t="shared" si="9"/>
        <v>4.0909090909091006E-2</v>
      </c>
      <c r="T19" s="30">
        <f t="shared" si="7"/>
        <v>4.0909090909091006E-2</v>
      </c>
    </row>
    <row r="20" spans="2:20" x14ac:dyDescent="0.25">
      <c r="B20" s="2" t="s">
        <v>16</v>
      </c>
      <c r="C20" s="23"/>
      <c r="D20" s="9">
        <v>3</v>
      </c>
      <c r="E20" s="9">
        <v>3</v>
      </c>
      <c r="F20" s="23"/>
      <c r="G20" s="19">
        <v>95</v>
      </c>
      <c r="H20" s="19">
        <v>95</v>
      </c>
      <c r="J20" s="9">
        <f t="shared" si="5"/>
        <v>1.209090909090909</v>
      </c>
      <c r="K20" s="9">
        <f t="shared" si="5"/>
        <v>1.209090909090909</v>
      </c>
      <c r="M20" s="9">
        <v>1.75</v>
      </c>
      <c r="N20" s="9">
        <v>1.75</v>
      </c>
      <c r="O20" s="23"/>
      <c r="P20" s="9">
        <f t="shared" si="8"/>
        <v>2.959090909090909</v>
      </c>
      <c r="Q20" s="9">
        <f t="shared" si="6"/>
        <v>2.959090909090909</v>
      </c>
      <c r="R20" s="23"/>
      <c r="S20" s="30">
        <f t="shared" si="9"/>
        <v>4.0909090909091006E-2</v>
      </c>
      <c r="T20" s="30">
        <f t="shared" si="7"/>
        <v>4.0909090909091006E-2</v>
      </c>
    </row>
    <row r="21" spans="2:20" x14ac:dyDescent="0.25">
      <c r="B21" s="2" t="s">
        <v>17</v>
      </c>
      <c r="C21" s="23"/>
      <c r="D21" s="9">
        <v>2.5</v>
      </c>
      <c r="E21" s="9">
        <v>2.5</v>
      </c>
      <c r="F21" s="23"/>
      <c r="G21" s="19">
        <v>75</v>
      </c>
      <c r="H21" s="19">
        <v>75</v>
      </c>
      <c r="J21" s="9">
        <f t="shared" si="5"/>
        <v>0.95454545454545459</v>
      </c>
      <c r="K21" s="9">
        <f t="shared" si="5"/>
        <v>0.95454545454545459</v>
      </c>
      <c r="M21" s="9">
        <v>1.75</v>
      </c>
      <c r="N21" s="9">
        <v>1.75</v>
      </c>
      <c r="O21" s="23"/>
      <c r="P21" s="9">
        <f t="shared" si="8"/>
        <v>2.7045454545454546</v>
      </c>
      <c r="Q21" s="9">
        <f t="shared" si="6"/>
        <v>2.7045454545454546</v>
      </c>
      <c r="R21" s="23"/>
      <c r="S21" s="30">
        <f t="shared" si="9"/>
        <v>-0.20454545454545459</v>
      </c>
      <c r="T21" s="30">
        <f t="shared" si="7"/>
        <v>-0.20454545454545459</v>
      </c>
    </row>
    <row r="22" spans="2:20" x14ac:dyDescent="0.25">
      <c r="B22" s="2" t="s">
        <v>18</v>
      </c>
      <c r="C22" s="23"/>
      <c r="D22" s="9">
        <v>2.5</v>
      </c>
      <c r="E22" s="9">
        <v>2.5</v>
      </c>
      <c r="F22" s="23"/>
      <c r="G22" s="19">
        <v>75</v>
      </c>
      <c r="H22" s="19">
        <v>75</v>
      </c>
      <c r="J22" s="9">
        <f t="shared" si="5"/>
        <v>0.95454545454545459</v>
      </c>
      <c r="K22" s="9">
        <f t="shared" si="5"/>
        <v>0.95454545454545459</v>
      </c>
      <c r="M22" s="9">
        <v>1.75</v>
      </c>
      <c r="N22" s="9">
        <v>1.75</v>
      </c>
      <c r="O22" s="23"/>
      <c r="P22" s="9">
        <f t="shared" si="8"/>
        <v>2.7045454545454546</v>
      </c>
      <c r="Q22" s="9">
        <f t="shared" si="6"/>
        <v>2.7045454545454546</v>
      </c>
      <c r="R22" s="23"/>
      <c r="S22" s="30">
        <f t="shared" si="9"/>
        <v>-0.20454545454545459</v>
      </c>
      <c r="T22" s="30">
        <f t="shared" si="7"/>
        <v>-0.20454545454545459</v>
      </c>
    </row>
    <row r="23" spans="2:20" x14ac:dyDescent="0.25">
      <c r="C23" s="23"/>
      <c r="D23" s="10"/>
      <c r="E23" s="11">
        <f>SUM(D15:E22)</f>
        <v>45.5</v>
      </c>
      <c r="F23" s="23"/>
      <c r="H23" s="22">
        <f>SUM(G15:H22)</f>
        <v>1100</v>
      </c>
      <c r="J23" s="10"/>
      <c r="K23" s="11">
        <f>SUM(J15:K22)</f>
        <v>14.000000000000002</v>
      </c>
      <c r="M23" s="10"/>
      <c r="N23" s="11">
        <f>SUM(M15:N22)</f>
        <v>21</v>
      </c>
      <c r="O23" s="23"/>
      <c r="P23" s="10"/>
      <c r="Q23" s="11">
        <f>SUM(P15:Q22)</f>
        <v>35</v>
      </c>
      <c r="R23" s="23"/>
      <c r="T23" s="33">
        <f>SUM(S15:T22)</f>
        <v>10.5</v>
      </c>
    </row>
    <row r="24" spans="2:20" x14ac:dyDescent="0.25">
      <c r="B24"/>
      <c r="D24"/>
      <c r="E24"/>
      <c r="G24"/>
      <c r="H24"/>
      <c r="J24"/>
      <c r="K24"/>
      <c r="M24"/>
      <c r="N24"/>
      <c r="P24"/>
      <c r="Q24"/>
      <c r="S24" s="36"/>
      <c r="T24" s="36"/>
    </row>
    <row r="25" spans="2:20" x14ac:dyDescent="0.25">
      <c r="B25"/>
      <c r="D25"/>
      <c r="E25"/>
      <c r="G25"/>
      <c r="H25"/>
      <c r="J25"/>
      <c r="K25"/>
      <c r="M25"/>
      <c r="N25"/>
      <c r="P25"/>
      <c r="Q25"/>
      <c r="S25" s="36"/>
      <c r="T25" s="36"/>
    </row>
  </sheetData>
  <mergeCells count="10">
    <mergeCell ref="P2:Q2"/>
    <mergeCell ref="G2:H2"/>
    <mergeCell ref="S2:T2"/>
    <mergeCell ref="D2:E2"/>
    <mergeCell ref="G3:H3"/>
    <mergeCell ref="J3:K3"/>
    <mergeCell ref="M3:N3"/>
    <mergeCell ref="D3:E3"/>
    <mergeCell ref="J2:K2"/>
    <mergeCell ref="M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670B-53F1-4083-841B-5A2CE1C1E16D}">
  <dimension ref="B2:S15"/>
  <sheetViews>
    <sheetView showGridLines="0" showZeros="0" zoomScale="115" zoomScaleNormal="115" workbookViewId="0">
      <selection activeCell="K20" sqref="K20"/>
    </sheetView>
  </sheetViews>
  <sheetFormatPr defaultRowHeight="15" x14ac:dyDescent="0.25"/>
  <cols>
    <col min="1" max="1" width="2.5703125" customWidth="1"/>
    <col min="2" max="2" width="13" style="1" customWidth="1"/>
    <col min="3" max="3" width="1.140625" customWidth="1"/>
    <col min="4" max="5" width="8.5703125" style="5" customWidth="1"/>
    <col min="6" max="6" width="1.28515625" style="3" customWidth="1"/>
    <col min="7" max="10" width="8.5703125" style="5" customWidth="1"/>
    <col min="11" max="11" width="9.28515625" style="5" customWidth="1"/>
    <col min="12" max="12" width="10.140625" style="5" customWidth="1"/>
    <col min="13" max="13" width="1.28515625" style="3" customWidth="1"/>
    <col min="14" max="14" width="8.85546875" style="5" customWidth="1"/>
    <col min="15" max="15" width="11.42578125" style="5" customWidth="1"/>
    <col min="16" max="16" width="1.28515625" style="3" customWidth="1"/>
    <col min="17" max="17" width="9.28515625" style="5" customWidth="1"/>
    <col min="18" max="18" width="10.140625" style="5" customWidth="1"/>
    <col min="19" max="19" width="1.28515625" style="3" customWidth="1"/>
  </cols>
  <sheetData>
    <row r="2" spans="2:19" ht="24" customHeight="1" thickBot="1" x14ac:dyDescent="0.3">
      <c r="C2" s="23"/>
      <c r="D2" s="140" t="s">
        <v>5</v>
      </c>
      <c r="E2" s="138"/>
      <c r="F2" s="61"/>
      <c r="G2" s="140" t="s">
        <v>8</v>
      </c>
      <c r="H2" s="141"/>
      <c r="I2" s="142" t="s">
        <v>43</v>
      </c>
      <c r="J2" s="143"/>
      <c r="K2" s="138" t="s">
        <v>42</v>
      </c>
      <c r="L2" s="139"/>
      <c r="M2" s="62"/>
      <c r="N2" s="139" t="s">
        <v>44</v>
      </c>
      <c r="O2" s="139"/>
      <c r="P2" s="62"/>
      <c r="Q2" s="138" t="s">
        <v>46</v>
      </c>
      <c r="R2" s="139"/>
      <c r="S2" s="62"/>
    </row>
    <row r="3" spans="2:19" x14ac:dyDescent="0.25">
      <c r="B3" s="67" t="s">
        <v>11</v>
      </c>
      <c r="C3" s="23"/>
      <c r="D3" s="4">
        <v>3250</v>
      </c>
      <c r="E3" s="49">
        <v>3250</v>
      </c>
      <c r="F3" s="48"/>
      <c r="G3" s="4"/>
      <c r="H3" s="50"/>
      <c r="I3" s="54"/>
      <c r="J3" s="55">
        <v>7000</v>
      </c>
      <c r="K3" s="52">
        <f>+D3-G3</f>
        <v>3250</v>
      </c>
      <c r="L3" s="49"/>
      <c r="M3" s="48"/>
      <c r="N3" s="19">
        <v>80</v>
      </c>
      <c r="O3" s="58"/>
      <c r="P3" s="48"/>
      <c r="Q3" s="52">
        <f>+IFERROR(K3/N3,0)*1000</f>
        <v>40625</v>
      </c>
      <c r="R3" s="49">
        <f t="shared" ref="R3:R10" si="0">+IFERROR(L3/O3,0)*1000</f>
        <v>0</v>
      </c>
      <c r="S3" s="48"/>
    </row>
    <row r="4" spans="2:19" x14ac:dyDescent="0.25">
      <c r="B4" s="68" t="s">
        <v>12</v>
      </c>
      <c r="C4" s="23"/>
      <c r="D4" s="4">
        <v>3250</v>
      </c>
      <c r="E4" s="4">
        <v>3250</v>
      </c>
      <c r="F4" s="48"/>
      <c r="G4" s="4">
        <v>1750</v>
      </c>
      <c r="H4" s="51">
        <v>1750</v>
      </c>
      <c r="I4" s="54"/>
      <c r="J4" s="56"/>
      <c r="K4" s="52">
        <f>+D4-G4</f>
        <v>1500</v>
      </c>
      <c r="L4" s="4">
        <f>+E4-H4</f>
        <v>1500</v>
      </c>
      <c r="M4" s="48"/>
      <c r="N4" s="19">
        <v>75</v>
      </c>
      <c r="O4" s="19">
        <v>75</v>
      </c>
      <c r="P4" s="48"/>
      <c r="Q4" s="52">
        <f t="shared" ref="Q4:Q10" si="1">+IFERROR(K4/N4,0)*1000</f>
        <v>20000</v>
      </c>
      <c r="R4" s="4">
        <f t="shared" si="0"/>
        <v>20000</v>
      </c>
      <c r="S4" s="48"/>
    </row>
    <row r="5" spans="2:19" x14ac:dyDescent="0.25">
      <c r="B5" s="68" t="s">
        <v>13</v>
      </c>
      <c r="C5" s="23"/>
      <c r="D5" s="49">
        <v>3250</v>
      </c>
      <c r="E5" s="49">
        <v>3250</v>
      </c>
      <c r="F5" s="48"/>
      <c r="G5" s="49"/>
      <c r="H5" s="50"/>
      <c r="I5" s="57">
        <v>8000</v>
      </c>
      <c r="J5" s="55">
        <v>8000</v>
      </c>
      <c r="K5" s="53"/>
      <c r="L5" s="49"/>
      <c r="M5" s="48"/>
      <c r="N5" s="58"/>
      <c r="O5" s="58"/>
      <c r="P5" s="48"/>
      <c r="Q5" s="53">
        <f t="shared" si="1"/>
        <v>0</v>
      </c>
      <c r="R5" s="49">
        <f t="shared" si="0"/>
        <v>0</v>
      </c>
      <c r="S5" s="48"/>
    </row>
    <row r="6" spans="2:19" x14ac:dyDescent="0.25">
      <c r="B6" s="68" t="s">
        <v>14</v>
      </c>
      <c r="C6" s="23"/>
      <c r="D6" s="4">
        <v>3250</v>
      </c>
      <c r="E6" s="4">
        <v>3250</v>
      </c>
      <c r="F6" s="48"/>
      <c r="G6" s="4">
        <v>1750</v>
      </c>
      <c r="H6" s="51">
        <v>1750</v>
      </c>
      <c r="I6" s="54"/>
      <c r="J6" s="56"/>
      <c r="K6" s="52">
        <f t="shared" ref="K6:L10" si="2">+D6-G6</f>
        <v>1500</v>
      </c>
      <c r="L6" s="4">
        <f t="shared" si="2"/>
        <v>1500</v>
      </c>
      <c r="M6" s="48"/>
      <c r="N6" s="19">
        <v>95</v>
      </c>
      <c r="O6" s="19">
        <v>95</v>
      </c>
      <c r="P6" s="48"/>
      <c r="Q6" s="52">
        <f t="shared" si="1"/>
        <v>15789.473684210525</v>
      </c>
      <c r="R6" s="4">
        <f t="shared" si="0"/>
        <v>15789.473684210525</v>
      </c>
      <c r="S6" s="48"/>
    </row>
    <row r="7" spans="2:19" x14ac:dyDescent="0.25">
      <c r="B7" s="68" t="s">
        <v>15</v>
      </c>
      <c r="C7" s="23"/>
      <c r="D7" s="4">
        <v>3250</v>
      </c>
      <c r="E7" s="4">
        <v>3250</v>
      </c>
      <c r="F7" s="48"/>
      <c r="G7" s="4">
        <v>1750</v>
      </c>
      <c r="H7" s="51">
        <v>1750</v>
      </c>
      <c r="I7" s="54"/>
      <c r="J7" s="56"/>
      <c r="K7" s="52">
        <f t="shared" si="2"/>
        <v>1500</v>
      </c>
      <c r="L7" s="4">
        <f t="shared" si="2"/>
        <v>1500</v>
      </c>
      <c r="M7" s="48"/>
      <c r="N7" s="19">
        <v>95</v>
      </c>
      <c r="O7" s="19">
        <v>95</v>
      </c>
      <c r="P7" s="48"/>
      <c r="Q7" s="52">
        <f t="shared" si="1"/>
        <v>15789.473684210525</v>
      </c>
      <c r="R7" s="4">
        <f t="shared" si="0"/>
        <v>15789.473684210525</v>
      </c>
      <c r="S7" s="48"/>
    </row>
    <row r="8" spans="2:19" x14ac:dyDescent="0.25">
      <c r="B8" s="68" t="s">
        <v>16</v>
      </c>
      <c r="C8" s="23"/>
      <c r="D8" s="4">
        <v>3250</v>
      </c>
      <c r="E8" s="4">
        <v>3250</v>
      </c>
      <c r="F8" s="48"/>
      <c r="G8" s="4">
        <v>1750</v>
      </c>
      <c r="H8" s="51">
        <v>1750</v>
      </c>
      <c r="I8" s="54"/>
      <c r="J8" s="56"/>
      <c r="K8" s="52">
        <f t="shared" si="2"/>
        <v>1500</v>
      </c>
      <c r="L8" s="4">
        <f t="shared" si="2"/>
        <v>1500</v>
      </c>
      <c r="M8" s="48"/>
      <c r="N8" s="19">
        <v>95</v>
      </c>
      <c r="O8" s="19">
        <v>95</v>
      </c>
      <c r="P8" s="48"/>
      <c r="Q8" s="52">
        <f t="shared" si="1"/>
        <v>15789.473684210525</v>
      </c>
      <c r="R8" s="4">
        <f t="shared" si="0"/>
        <v>15789.473684210525</v>
      </c>
      <c r="S8" s="48"/>
    </row>
    <row r="9" spans="2:19" x14ac:dyDescent="0.25">
      <c r="B9" s="68" t="s">
        <v>17</v>
      </c>
      <c r="C9" s="23"/>
      <c r="D9" s="4">
        <v>3250</v>
      </c>
      <c r="E9" s="4">
        <v>3250</v>
      </c>
      <c r="F9" s="48"/>
      <c r="G9" s="4">
        <v>1750</v>
      </c>
      <c r="H9" s="51">
        <v>1750</v>
      </c>
      <c r="I9" s="54"/>
      <c r="J9" s="56"/>
      <c r="K9" s="52">
        <f t="shared" si="2"/>
        <v>1500</v>
      </c>
      <c r="L9" s="4">
        <f t="shared" si="2"/>
        <v>1500</v>
      </c>
      <c r="M9" s="48"/>
      <c r="N9" s="19">
        <v>75</v>
      </c>
      <c r="O9" s="19">
        <v>75</v>
      </c>
      <c r="P9" s="48"/>
      <c r="Q9" s="52">
        <f t="shared" si="1"/>
        <v>20000</v>
      </c>
      <c r="R9" s="4">
        <f t="shared" si="0"/>
        <v>20000</v>
      </c>
      <c r="S9" s="48"/>
    </row>
    <row r="10" spans="2:19" x14ac:dyDescent="0.25">
      <c r="B10" s="68" t="s">
        <v>18</v>
      </c>
      <c r="C10" s="23"/>
      <c r="D10" s="4">
        <v>3250</v>
      </c>
      <c r="E10" s="4">
        <v>3250</v>
      </c>
      <c r="F10" s="48"/>
      <c r="G10" s="4">
        <v>875</v>
      </c>
      <c r="H10" s="51">
        <v>875</v>
      </c>
      <c r="I10" s="54"/>
      <c r="J10" s="56"/>
      <c r="K10" s="52">
        <f t="shared" si="2"/>
        <v>2375</v>
      </c>
      <c r="L10" s="4">
        <f t="shared" si="2"/>
        <v>2375</v>
      </c>
      <c r="M10" s="48"/>
      <c r="N10" s="19">
        <v>75</v>
      </c>
      <c r="O10" s="19">
        <v>75</v>
      </c>
      <c r="P10" s="48"/>
      <c r="Q10" s="52">
        <f t="shared" si="1"/>
        <v>31666.666666666668</v>
      </c>
      <c r="R10" s="4">
        <f t="shared" si="0"/>
        <v>31666.666666666668</v>
      </c>
      <c r="S10" s="48"/>
    </row>
    <row r="11" spans="2:19" ht="15.75" thickBot="1" x14ac:dyDescent="0.3">
      <c r="B11" s="69" t="s">
        <v>41</v>
      </c>
      <c r="C11" s="59"/>
      <c r="D11" s="157">
        <v>3000</v>
      </c>
      <c r="E11" s="147"/>
      <c r="F11" s="48"/>
      <c r="G11" s="157"/>
      <c r="H11" s="146"/>
      <c r="I11" s="158"/>
      <c r="J11" s="159"/>
      <c r="K11" s="146"/>
      <c r="L11" s="147"/>
      <c r="M11" s="60"/>
      <c r="N11" s="72"/>
      <c r="O11" s="72"/>
      <c r="P11" s="60"/>
      <c r="Q11" s="146"/>
      <c r="R11" s="147"/>
      <c r="S11" s="60"/>
    </row>
    <row r="12" spans="2:19" ht="16.5" thickTop="1" thickBot="1" x14ac:dyDescent="0.3">
      <c r="B12" s="151"/>
      <c r="C12" s="23"/>
      <c r="D12" s="148">
        <f>SUM(D3:E11)</f>
        <v>55000</v>
      </c>
      <c r="E12" s="149"/>
      <c r="F12" s="63"/>
      <c r="G12" s="153">
        <f>SUM(G3:H11)</f>
        <v>19250</v>
      </c>
      <c r="H12" s="154"/>
      <c r="I12" s="155">
        <f>SUM(I3:J11)</f>
        <v>23000</v>
      </c>
      <c r="J12" s="154"/>
      <c r="K12" s="155">
        <f>+D12-G12-I12</f>
        <v>12750</v>
      </c>
      <c r="L12" s="156"/>
      <c r="M12" s="48"/>
      <c r="N12" s="144">
        <f>SUM(N3:O11)</f>
        <v>1100</v>
      </c>
      <c r="O12" s="145"/>
      <c r="P12" s="48"/>
      <c r="Q12" s="148">
        <f>+(G12+K12)</f>
        <v>32000</v>
      </c>
      <c r="R12" s="149"/>
      <c r="S12" s="48"/>
    </row>
    <row r="13" spans="2:19" ht="15.75" thickBot="1" x14ac:dyDescent="0.3">
      <c r="B13" s="152"/>
      <c r="C13" s="23"/>
      <c r="D13" s="65"/>
      <c r="E13" s="66"/>
      <c r="F13" s="64"/>
      <c r="G13" s="150">
        <f>SUM(G12:K12)</f>
        <v>55000</v>
      </c>
      <c r="H13" s="150"/>
      <c r="I13" s="150"/>
      <c r="J13" s="150"/>
      <c r="K13" s="150"/>
      <c r="L13" s="150"/>
      <c r="M13" s="48"/>
      <c r="N13" s="65"/>
      <c r="O13" s="66"/>
      <c r="P13" s="48"/>
      <c r="Q13" s="65"/>
      <c r="R13" s="66"/>
      <c r="S13" s="48"/>
    </row>
    <row r="15" spans="2:19" x14ac:dyDescent="0.25">
      <c r="B15" s="70"/>
      <c r="D15" s="71" t="s">
        <v>45</v>
      </c>
    </row>
  </sheetData>
  <mergeCells count="19">
    <mergeCell ref="N12:O12"/>
    <mergeCell ref="Q11:R11"/>
    <mergeCell ref="Q12:R12"/>
    <mergeCell ref="G13:L13"/>
    <mergeCell ref="B12:B13"/>
    <mergeCell ref="D12:E12"/>
    <mergeCell ref="G12:H12"/>
    <mergeCell ref="I12:J12"/>
    <mergeCell ref="K12:L12"/>
    <mergeCell ref="D11:E11"/>
    <mergeCell ref="G11:H11"/>
    <mergeCell ref="I11:J11"/>
    <mergeCell ref="K11:L11"/>
    <mergeCell ref="Q2:R2"/>
    <mergeCell ref="D2:E2"/>
    <mergeCell ref="K2:L2"/>
    <mergeCell ref="N2:O2"/>
    <mergeCell ref="G2:H2"/>
    <mergeCell ref="I2:J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BE11-04B2-4B04-8669-DCC151B922B0}">
  <dimension ref="B2:T30"/>
  <sheetViews>
    <sheetView showGridLines="0" showZeros="0" zoomScale="115" zoomScaleNormal="115" workbookViewId="0">
      <selection activeCell="J15" sqref="J15:M15"/>
    </sheetView>
  </sheetViews>
  <sheetFormatPr defaultRowHeight="15" x14ac:dyDescent="0.25"/>
  <cols>
    <col min="1" max="1" width="2.5703125" customWidth="1"/>
    <col min="2" max="2" width="13" style="1" customWidth="1"/>
    <col min="3" max="3" width="1.140625" customWidth="1"/>
    <col min="4" max="5" width="8.5703125" style="5" customWidth="1"/>
    <col min="6" max="6" width="1.28515625" style="3" customWidth="1"/>
    <col min="7" max="8" width="8.5703125" style="5" customWidth="1"/>
    <col min="9" max="9" width="1.28515625" style="3" customWidth="1"/>
    <col min="10" max="11" width="8.5703125" style="5" customWidth="1"/>
    <col min="12" max="12" width="9.28515625" style="5" customWidth="1"/>
    <col min="13" max="13" width="10.140625" style="5" customWidth="1"/>
    <col min="14" max="14" width="1.28515625" style="3" customWidth="1"/>
    <col min="15" max="15" width="8.85546875" style="5" customWidth="1"/>
    <col min="16" max="16" width="11.42578125" style="5" customWidth="1"/>
    <col min="17" max="17" width="1.28515625" style="3" customWidth="1"/>
    <col min="18" max="18" width="9.140625" style="5" customWidth="1"/>
    <col min="19" max="19" width="10.42578125" style="5" customWidth="1"/>
    <col min="20" max="20" width="1.28515625" style="3" customWidth="1"/>
  </cols>
  <sheetData>
    <row r="2" spans="2:20" x14ac:dyDescent="0.25">
      <c r="D2" s="172" t="s">
        <v>48</v>
      </c>
      <c r="E2" s="172"/>
      <c r="F2" s="172"/>
      <c r="G2" s="172"/>
      <c r="H2" s="172"/>
      <c r="I2" s="172"/>
      <c r="J2" s="172"/>
      <c r="K2" s="172"/>
      <c r="L2" s="172"/>
      <c r="M2" s="172"/>
      <c r="N2" s="172"/>
      <c r="O2" s="172"/>
      <c r="P2" s="172"/>
      <c r="R2"/>
      <c r="S2"/>
    </row>
    <row r="4" spans="2:20" ht="24" customHeight="1" x14ac:dyDescent="0.25">
      <c r="C4" s="74"/>
      <c r="D4" s="160" t="s">
        <v>5</v>
      </c>
      <c r="E4" s="160"/>
      <c r="F4" s="80"/>
      <c r="G4" s="160" t="s">
        <v>43</v>
      </c>
      <c r="H4" s="160"/>
      <c r="I4" s="81"/>
      <c r="J4" s="161" t="s">
        <v>8</v>
      </c>
      <c r="K4" s="162"/>
      <c r="L4" s="163" t="s">
        <v>42</v>
      </c>
      <c r="M4" s="164"/>
      <c r="N4" s="83"/>
      <c r="O4" s="160" t="s">
        <v>44</v>
      </c>
      <c r="P4" s="160"/>
      <c r="Q4" s="77"/>
      <c r="R4" s="160" t="s">
        <v>49</v>
      </c>
      <c r="S4" s="160"/>
      <c r="T4" s="77"/>
    </row>
    <row r="5" spans="2:20" x14ac:dyDescent="0.25">
      <c r="B5" s="73" t="s">
        <v>11</v>
      </c>
      <c r="C5" s="74"/>
      <c r="D5" s="75">
        <v>3250</v>
      </c>
      <c r="E5" s="76">
        <v>3250</v>
      </c>
      <c r="F5" s="77"/>
      <c r="G5" s="75"/>
      <c r="H5" s="76">
        <v>7000</v>
      </c>
      <c r="I5" s="82"/>
      <c r="J5" s="98"/>
      <c r="K5" s="85"/>
      <c r="L5" s="84">
        <f>+O5*$O$15/1000</f>
        <v>2263.1578947368421</v>
      </c>
      <c r="M5" s="100">
        <f t="shared" ref="M5:M12" si="0">+P5*$O$15/1000</f>
        <v>0</v>
      </c>
      <c r="N5" s="83"/>
      <c r="O5" s="78">
        <v>80</v>
      </c>
      <c r="P5" s="79"/>
      <c r="Q5" s="48"/>
      <c r="R5" s="84">
        <f>+O5*$R$15/1000</f>
        <v>2560</v>
      </c>
      <c r="S5" s="100"/>
      <c r="T5" s="48"/>
    </row>
    <row r="6" spans="2:20" x14ac:dyDescent="0.25">
      <c r="B6" s="73" t="s">
        <v>12</v>
      </c>
      <c r="C6" s="74"/>
      <c r="D6" s="75">
        <v>3250</v>
      </c>
      <c r="E6" s="75">
        <v>3250</v>
      </c>
      <c r="F6" s="77"/>
      <c r="G6" s="75"/>
      <c r="H6" s="75"/>
      <c r="I6" s="82"/>
      <c r="J6" s="98">
        <v>1750</v>
      </c>
      <c r="K6" s="86">
        <v>1750</v>
      </c>
      <c r="L6" s="84">
        <f t="shared" ref="L6:L12" si="1">+O6*$O$15/1000</f>
        <v>2687.5</v>
      </c>
      <c r="M6" s="101">
        <f t="shared" si="0"/>
        <v>2687.5</v>
      </c>
      <c r="N6" s="83"/>
      <c r="O6" s="78">
        <v>95</v>
      </c>
      <c r="P6" s="78">
        <v>95</v>
      </c>
      <c r="Q6" s="48"/>
      <c r="R6" s="84">
        <v>95</v>
      </c>
      <c r="S6" s="101">
        <v>95</v>
      </c>
      <c r="T6" s="48"/>
    </row>
    <row r="7" spans="2:20" x14ac:dyDescent="0.25">
      <c r="B7" s="73" t="s">
        <v>13</v>
      </c>
      <c r="C7" s="74"/>
      <c r="D7" s="76">
        <v>3250</v>
      </c>
      <c r="E7" s="76">
        <v>3250</v>
      </c>
      <c r="F7" s="77"/>
      <c r="G7" s="76">
        <v>8000</v>
      </c>
      <c r="H7" s="76">
        <v>8000</v>
      </c>
      <c r="I7" s="82"/>
      <c r="J7" s="99"/>
      <c r="K7" s="85"/>
      <c r="L7" s="87">
        <f t="shared" si="1"/>
        <v>0</v>
      </c>
      <c r="M7" s="100">
        <f t="shared" si="0"/>
        <v>0</v>
      </c>
      <c r="N7" s="83"/>
      <c r="O7" s="79"/>
      <c r="P7" s="79"/>
      <c r="Q7" s="48"/>
      <c r="R7" s="87"/>
      <c r="S7" s="100"/>
      <c r="T7" s="48"/>
    </row>
    <row r="8" spans="2:20" x14ac:dyDescent="0.25">
      <c r="B8" s="73" t="s">
        <v>14</v>
      </c>
      <c r="C8" s="74"/>
      <c r="D8" s="75">
        <v>3250</v>
      </c>
      <c r="E8" s="75">
        <v>3250</v>
      </c>
      <c r="F8" s="77"/>
      <c r="G8" s="75"/>
      <c r="H8" s="75"/>
      <c r="I8" s="82"/>
      <c r="J8" s="98">
        <v>1750</v>
      </c>
      <c r="K8" s="86">
        <v>1750</v>
      </c>
      <c r="L8" s="84">
        <f t="shared" si="1"/>
        <v>2687.5</v>
      </c>
      <c r="M8" s="101">
        <f t="shared" si="0"/>
        <v>2687.5</v>
      </c>
      <c r="N8" s="83"/>
      <c r="O8" s="78">
        <v>95</v>
      </c>
      <c r="P8" s="78">
        <v>95</v>
      </c>
      <c r="Q8" s="48"/>
      <c r="R8" s="84">
        <v>95</v>
      </c>
      <c r="S8" s="101">
        <v>95</v>
      </c>
      <c r="T8" s="48"/>
    </row>
    <row r="9" spans="2:20" x14ac:dyDescent="0.25">
      <c r="B9" s="73" t="s">
        <v>15</v>
      </c>
      <c r="C9" s="74"/>
      <c r="D9" s="75">
        <v>3250</v>
      </c>
      <c r="E9" s="75">
        <v>3250</v>
      </c>
      <c r="F9" s="77"/>
      <c r="G9" s="75"/>
      <c r="H9" s="75"/>
      <c r="I9" s="82"/>
      <c r="J9" s="98">
        <v>1750</v>
      </c>
      <c r="K9" s="86">
        <v>1750</v>
      </c>
      <c r="L9" s="84">
        <f t="shared" si="1"/>
        <v>2687.5</v>
      </c>
      <c r="M9" s="101">
        <f t="shared" si="0"/>
        <v>2687.5</v>
      </c>
      <c r="N9" s="83"/>
      <c r="O9" s="78">
        <v>95</v>
      </c>
      <c r="P9" s="78">
        <v>95</v>
      </c>
      <c r="Q9" s="48"/>
      <c r="R9" s="84">
        <v>95</v>
      </c>
      <c r="S9" s="101">
        <v>95</v>
      </c>
      <c r="T9" s="48"/>
    </row>
    <row r="10" spans="2:20" x14ac:dyDescent="0.25">
      <c r="B10" s="73" t="s">
        <v>16</v>
      </c>
      <c r="C10" s="74"/>
      <c r="D10" s="75">
        <v>3250</v>
      </c>
      <c r="E10" s="75">
        <v>3250</v>
      </c>
      <c r="F10" s="77"/>
      <c r="G10" s="75"/>
      <c r="H10" s="75"/>
      <c r="I10" s="82"/>
      <c r="J10" s="98">
        <v>1750</v>
      </c>
      <c r="K10" s="86">
        <v>1750</v>
      </c>
      <c r="L10" s="84">
        <f t="shared" si="1"/>
        <v>2687.5</v>
      </c>
      <c r="M10" s="101">
        <f t="shared" si="0"/>
        <v>2687.5</v>
      </c>
      <c r="N10" s="83"/>
      <c r="O10" s="78">
        <v>95</v>
      </c>
      <c r="P10" s="78">
        <v>95</v>
      </c>
      <c r="Q10" s="48"/>
      <c r="R10" s="84">
        <v>95</v>
      </c>
      <c r="S10" s="101">
        <v>95</v>
      </c>
      <c r="T10" s="48"/>
    </row>
    <row r="11" spans="2:20" x14ac:dyDescent="0.25">
      <c r="B11" s="73" t="s">
        <v>17</v>
      </c>
      <c r="C11" s="74"/>
      <c r="D11" s="75">
        <v>3250</v>
      </c>
      <c r="E11" s="75">
        <v>3250</v>
      </c>
      <c r="F11" s="77"/>
      <c r="G11" s="75"/>
      <c r="H11" s="75"/>
      <c r="I11" s="82"/>
      <c r="J11" s="98">
        <v>1750</v>
      </c>
      <c r="K11" s="86">
        <v>1750</v>
      </c>
      <c r="L11" s="84">
        <f t="shared" si="1"/>
        <v>2121.7105263157896</v>
      </c>
      <c r="M11" s="101">
        <f t="shared" si="0"/>
        <v>2121.7105263157896</v>
      </c>
      <c r="N11" s="83"/>
      <c r="O11" s="78">
        <v>75</v>
      </c>
      <c r="P11" s="78">
        <v>75</v>
      </c>
      <c r="Q11" s="48"/>
      <c r="R11" s="84">
        <v>75</v>
      </c>
      <c r="S11" s="101">
        <v>75</v>
      </c>
      <c r="T11" s="48"/>
    </row>
    <row r="12" spans="2:20" x14ac:dyDescent="0.25">
      <c r="B12" s="73" t="s">
        <v>18</v>
      </c>
      <c r="C12" s="74"/>
      <c r="D12" s="75">
        <v>3250</v>
      </c>
      <c r="E12" s="75">
        <v>3250</v>
      </c>
      <c r="F12" s="77"/>
      <c r="G12" s="75"/>
      <c r="H12" s="75"/>
      <c r="I12" s="82"/>
      <c r="J12" s="98">
        <v>875</v>
      </c>
      <c r="K12" s="86">
        <v>875</v>
      </c>
      <c r="L12" s="84">
        <f t="shared" si="1"/>
        <v>2121.7105263157896</v>
      </c>
      <c r="M12" s="101">
        <f t="shared" si="0"/>
        <v>2121.7105263157896</v>
      </c>
      <c r="N12" s="83"/>
      <c r="O12" s="78">
        <v>75</v>
      </c>
      <c r="P12" s="78">
        <v>75</v>
      </c>
      <c r="Q12" s="48"/>
      <c r="R12" s="84">
        <v>75</v>
      </c>
      <c r="S12" s="101">
        <v>75</v>
      </c>
      <c r="T12" s="48"/>
    </row>
    <row r="13" spans="2:20" ht="15.75" thickBot="1" x14ac:dyDescent="0.3">
      <c r="B13" s="92" t="s">
        <v>41</v>
      </c>
      <c r="C13" s="93"/>
      <c r="D13" s="173">
        <v>3250</v>
      </c>
      <c r="E13" s="173"/>
      <c r="F13" s="94"/>
      <c r="G13" s="173"/>
      <c r="H13" s="173"/>
      <c r="I13" s="95"/>
      <c r="J13" s="174"/>
      <c r="K13" s="175"/>
      <c r="L13" s="176"/>
      <c r="M13" s="177"/>
      <c r="N13" s="96"/>
      <c r="O13" s="97"/>
      <c r="P13" s="97"/>
      <c r="Q13" s="60"/>
      <c r="R13" s="176"/>
      <c r="S13" s="177"/>
      <c r="T13" s="60"/>
    </row>
    <row r="14" spans="2:20" ht="15.75" thickTop="1" x14ac:dyDescent="0.25">
      <c r="B14" s="165"/>
      <c r="C14" s="88"/>
      <c r="D14" s="167">
        <f>SUM(D5:E13)</f>
        <v>55250</v>
      </c>
      <c r="E14" s="167"/>
      <c r="F14" s="89"/>
      <c r="G14" s="167">
        <f>SUM(G5:H13)</f>
        <v>23000</v>
      </c>
      <c r="H14" s="167"/>
      <c r="I14" s="90"/>
      <c r="J14" s="168">
        <f>SUM(J5:K13)</f>
        <v>19250</v>
      </c>
      <c r="K14" s="169"/>
      <c r="L14" s="170">
        <f>+D14-J14-G14</f>
        <v>13000</v>
      </c>
      <c r="M14" s="171"/>
      <c r="N14" s="91"/>
      <c r="O14" s="180">
        <f>SUM(O5:P13)</f>
        <v>1140</v>
      </c>
      <c r="P14" s="180"/>
      <c r="Q14" s="48"/>
      <c r="R14" s="180">
        <f>SUM(R5:S13)</f>
        <v>3620</v>
      </c>
      <c r="S14" s="180"/>
      <c r="T14" s="48"/>
    </row>
    <row r="15" spans="2:20" x14ac:dyDescent="0.25">
      <c r="B15" s="166"/>
      <c r="C15" s="74"/>
      <c r="D15" s="178"/>
      <c r="E15" s="179"/>
      <c r="F15" s="77"/>
      <c r="G15" s="185"/>
      <c r="H15" s="186"/>
      <c r="I15" s="82"/>
      <c r="J15" s="181">
        <f>SUM(J14:M14)</f>
        <v>32250</v>
      </c>
      <c r="K15" s="182"/>
      <c r="L15" s="182"/>
      <c r="M15" s="183"/>
      <c r="N15" s="83"/>
      <c r="O15" s="184">
        <f>+J15/O14*1000</f>
        <v>28289.473684210527</v>
      </c>
      <c r="P15" s="184"/>
      <c r="Q15" s="48"/>
      <c r="R15" s="184">
        <v>32000</v>
      </c>
      <c r="S15" s="184"/>
      <c r="T15" s="48"/>
    </row>
    <row r="17" spans="2:20" ht="24" customHeight="1" x14ac:dyDescent="0.25">
      <c r="C17" s="74"/>
      <c r="D17" s="160" t="s">
        <v>5</v>
      </c>
      <c r="E17" s="160"/>
      <c r="F17" s="80"/>
      <c r="G17" s="160" t="s">
        <v>43</v>
      </c>
      <c r="H17" s="160"/>
      <c r="I17" s="81"/>
      <c r="J17" s="161" t="s">
        <v>8</v>
      </c>
      <c r="K17" s="162"/>
      <c r="L17" s="163" t="s">
        <v>42</v>
      </c>
      <c r="M17" s="164"/>
      <c r="N17" s="83"/>
      <c r="O17" s="160" t="s">
        <v>44</v>
      </c>
      <c r="P17" s="160"/>
      <c r="Q17" s="77"/>
      <c r="R17" s="160" t="s">
        <v>44</v>
      </c>
      <c r="S17" s="160"/>
      <c r="T17" s="77"/>
    </row>
    <row r="18" spans="2:20" x14ac:dyDescent="0.25">
      <c r="B18" s="73" t="s">
        <v>11</v>
      </c>
      <c r="C18" s="74"/>
      <c r="D18" s="75">
        <v>3250</v>
      </c>
      <c r="E18" s="75">
        <v>3250</v>
      </c>
      <c r="F18" s="77"/>
      <c r="G18" s="75"/>
      <c r="H18" s="75"/>
      <c r="I18" s="82"/>
      <c r="J18" s="98"/>
      <c r="K18" s="98"/>
      <c r="L18" s="84">
        <f>+D18-J18</f>
        <v>3250</v>
      </c>
      <c r="M18" s="101">
        <f>+E18-K18</f>
        <v>3250</v>
      </c>
      <c r="N18" s="83"/>
      <c r="O18" s="78">
        <v>80</v>
      </c>
      <c r="P18" s="79"/>
      <c r="Q18" s="48"/>
      <c r="R18" s="78">
        <v>80</v>
      </c>
      <c r="S18" s="79"/>
      <c r="T18" s="48"/>
    </row>
    <row r="19" spans="2:20" x14ac:dyDescent="0.25">
      <c r="B19" s="73" t="s">
        <v>12</v>
      </c>
      <c r="C19" s="74"/>
      <c r="D19" s="75">
        <v>3250</v>
      </c>
      <c r="E19" s="75">
        <v>3250</v>
      </c>
      <c r="F19" s="77"/>
      <c r="G19" s="75"/>
      <c r="H19" s="75"/>
      <c r="I19" s="82"/>
      <c r="J19" s="98">
        <v>1750</v>
      </c>
      <c r="K19" s="86">
        <v>1750</v>
      </c>
      <c r="L19" s="84">
        <f>+D19-J19</f>
        <v>1500</v>
      </c>
      <c r="M19" s="101">
        <f>+E19-K19</f>
        <v>1500</v>
      </c>
      <c r="N19" s="83"/>
      <c r="O19" s="78">
        <v>95</v>
      </c>
      <c r="P19" s="78">
        <v>95</v>
      </c>
      <c r="Q19" s="48"/>
      <c r="R19" s="78">
        <v>95</v>
      </c>
      <c r="S19" s="78">
        <v>95</v>
      </c>
      <c r="T19" s="48"/>
    </row>
    <row r="20" spans="2:20" x14ac:dyDescent="0.25">
      <c r="B20" s="73" t="s">
        <v>13</v>
      </c>
      <c r="C20" s="74"/>
      <c r="D20" s="76">
        <v>3250</v>
      </c>
      <c r="E20" s="76">
        <v>3250</v>
      </c>
      <c r="F20" s="77"/>
      <c r="G20" s="76">
        <v>8000</v>
      </c>
      <c r="H20" s="76">
        <v>8000</v>
      </c>
      <c r="I20" s="82"/>
      <c r="J20" s="99"/>
      <c r="K20" s="85"/>
      <c r="L20" s="87"/>
      <c r="M20" s="100"/>
      <c r="N20" s="83"/>
      <c r="O20" s="79"/>
      <c r="P20" s="79"/>
      <c r="Q20" s="48"/>
      <c r="R20" s="79"/>
      <c r="S20" s="79"/>
      <c r="T20" s="48"/>
    </row>
    <row r="21" spans="2:20" x14ac:dyDescent="0.25">
      <c r="B21" s="73" t="s">
        <v>14</v>
      </c>
      <c r="C21" s="74"/>
      <c r="D21" s="75">
        <v>3250</v>
      </c>
      <c r="E21" s="75">
        <v>3250</v>
      </c>
      <c r="F21" s="77"/>
      <c r="G21" s="75"/>
      <c r="H21" s="75"/>
      <c r="I21" s="82"/>
      <c r="J21" s="98">
        <v>1750</v>
      </c>
      <c r="K21" s="86">
        <v>1750</v>
      </c>
      <c r="L21" s="84">
        <f t="shared" ref="L21:M25" si="2">+D21-J21</f>
        <v>1500</v>
      </c>
      <c r="M21" s="101">
        <f t="shared" si="2"/>
        <v>1500</v>
      </c>
      <c r="N21" s="83"/>
      <c r="O21" s="78">
        <v>95</v>
      </c>
      <c r="P21" s="78">
        <v>95</v>
      </c>
      <c r="Q21" s="48"/>
      <c r="R21" s="78">
        <v>95</v>
      </c>
      <c r="S21" s="78">
        <v>95</v>
      </c>
      <c r="T21" s="48"/>
    </row>
    <row r="22" spans="2:20" x14ac:dyDescent="0.25">
      <c r="B22" s="73" t="s">
        <v>15</v>
      </c>
      <c r="C22" s="74"/>
      <c r="D22" s="75">
        <v>3250</v>
      </c>
      <c r="E22" s="75">
        <v>3250</v>
      </c>
      <c r="F22" s="77"/>
      <c r="G22" s="75"/>
      <c r="H22" s="75"/>
      <c r="I22" s="82"/>
      <c r="J22" s="98">
        <v>1750</v>
      </c>
      <c r="K22" s="86">
        <v>1750</v>
      </c>
      <c r="L22" s="84">
        <f t="shared" si="2"/>
        <v>1500</v>
      </c>
      <c r="M22" s="101">
        <f t="shared" si="2"/>
        <v>1500</v>
      </c>
      <c r="N22" s="83"/>
      <c r="O22" s="78">
        <v>95</v>
      </c>
      <c r="P22" s="78">
        <v>95</v>
      </c>
      <c r="Q22" s="48"/>
      <c r="R22" s="78">
        <v>95</v>
      </c>
      <c r="S22" s="78">
        <v>95</v>
      </c>
      <c r="T22" s="48"/>
    </row>
    <row r="23" spans="2:20" x14ac:dyDescent="0.25">
      <c r="B23" s="73" t="s">
        <v>16</v>
      </c>
      <c r="C23" s="74"/>
      <c r="D23" s="75">
        <v>3250</v>
      </c>
      <c r="E23" s="75">
        <v>3250</v>
      </c>
      <c r="F23" s="77"/>
      <c r="G23" s="75"/>
      <c r="H23" s="75"/>
      <c r="I23" s="82"/>
      <c r="J23" s="98">
        <v>1750</v>
      </c>
      <c r="K23" s="86">
        <v>1750</v>
      </c>
      <c r="L23" s="84">
        <f t="shared" si="2"/>
        <v>1500</v>
      </c>
      <c r="M23" s="101">
        <f t="shared" si="2"/>
        <v>1500</v>
      </c>
      <c r="N23" s="83"/>
      <c r="O23" s="78">
        <v>95</v>
      </c>
      <c r="P23" s="78">
        <v>95</v>
      </c>
      <c r="Q23" s="48"/>
      <c r="R23" s="78">
        <v>95</v>
      </c>
      <c r="S23" s="78">
        <v>95</v>
      </c>
      <c r="T23" s="48"/>
    </row>
    <row r="24" spans="2:20" x14ac:dyDescent="0.25">
      <c r="B24" s="73" t="s">
        <v>17</v>
      </c>
      <c r="C24" s="74"/>
      <c r="D24" s="75">
        <v>3250</v>
      </c>
      <c r="E24" s="75">
        <v>3250</v>
      </c>
      <c r="F24" s="77"/>
      <c r="G24" s="75"/>
      <c r="H24" s="75"/>
      <c r="I24" s="82"/>
      <c r="J24" s="98">
        <v>1750</v>
      </c>
      <c r="K24" s="86">
        <v>1750</v>
      </c>
      <c r="L24" s="84">
        <f t="shared" si="2"/>
        <v>1500</v>
      </c>
      <c r="M24" s="101">
        <f t="shared" si="2"/>
        <v>1500</v>
      </c>
      <c r="N24" s="83"/>
      <c r="O24" s="78">
        <v>75</v>
      </c>
      <c r="P24" s="78">
        <v>75</v>
      </c>
      <c r="Q24" s="48"/>
      <c r="R24" s="78">
        <v>75</v>
      </c>
      <c r="S24" s="78">
        <v>75</v>
      </c>
      <c r="T24" s="48"/>
    </row>
    <row r="25" spans="2:20" x14ac:dyDescent="0.25">
      <c r="B25" s="73" t="s">
        <v>18</v>
      </c>
      <c r="C25" s="74"/>
      <c r="D25" s="75">
        <v>3250</v>
      </c>
      <c r="E25" s="75">
        <v>3250</v>
      </c>
      <c r="F25" s="77"/>
      <c r="G25" s="75"/>
      <c r="H25" s="75"/>
      <c r="I25" s="82"/>
      <c r="J25" s="98">
        <v>1750</v>
      </c>
      <c r="K25" s="86">
        <v>1750</v>
      </c>
      <c r="L25" s="84">
        <f t="shared" si="2"/>
        <v>1500</v>
      </c>
      <c r="M25" s="101">
        <f t="shared" si="2"/>
        <v>1500</v>
      </c>
      <c r="N25" s="83"/>
      <c r="O25" s="78">
        <v>75</v>
      </c>
      <c r="P25" s="78">
        <v>75</v>
      </c>
      <c r="Q25" s="48"/>
      <c r="R25" s="78">
        <v>75</v>
      </c>
      <c r="S25" s="78">
        <v>75</v>
      </c>
      <c r="T25" s="48"/>
    </row>
    <row r="26" spans="2:20" ht="15.75" thickBot="1" x14ac:dyDescent="0.3">
      <c r="B26" s="92" t="s">
        <v>41</v>
      </c>
      <c r="C26" s="93"/>
      <c r="D26" s="173">
        <v>3250</v>
      </c>
      <c r="E26" s="173"/>
      <c r="F26" s="94"/>
      <c r="G26" s="173"/>
      <c r="H26" s="173"/>
      <c r="I26" s="95"/>
      <c r="J26" s="174"/>
      <c r="K26" s="175"/>
      <c r="L26" s="176"/>
      <c r="M26" s="177"/>
      <c r="N26" s="96"/>
      <c r="O26" s="97"/>
      <c r="P26" s="97"/>
      <c r="Q26" s="60"/>
      <c r="R26" s="97"/>
      <c r="S26" s="97"/>
      <c r="T26" s="60"/>
    </row>
    <row r="27" spans="2:20" ht="15.75" thickTop="1" x14ac:dyDescent="0.25">
      <c r="B27" s="165"/>
      <c r="C27" s="88"/>
      <c r="D27" s="167">
        <f>SUM(D18:E26)</f>
        <v>55250</v>
      </c>
      <c r="E27" s="167"/>
      <c r="F27" s="89"/>
      <c r="G27" s="167">
        <f>SUM(G18:H26)</f>
        <v>16000</v>
      </c>
      <c r="H27" s="167"/>
      <c r="I27" s="90"/>
      <c r="J27" s="168">
        <f>SUM(J18:K26)</f>
        <v>21000</v>
      </c>
      <c r="K27" s="169"/>
      <c r="L27" s="170">
        <f>+D27-J27-G27</f>
        <v>18250</v>
      </c>
      <c r="M27" s="171"/>
      <c r="N27" s="91"/>
      <c r="O27" s="180">
        <f>SUM(O18:P26)</f>
        <v>1140</v>
      </c>
      <c r="P27" s="180"/>
      <c r="Q27" s="48"/>
      <c r="R27" s="180">
        <f>SUM(R18:S26)</f>
        <v>1140</v>
      </c>
      <c r="S27" s="180"/>
      <c r="T27" s="48"/>
    </row>
    <row r="28" spans="2:20" x14ac:dyDescent="0.25">
      <c r="B28" s="166"/>
      <c r="C28" s="74"/>
      <c r="D28" s="178"/>
      <c r="E28" s="179"/>
      <c r="F28" s="77"/>
      <c r="G28" s="185"/>
      <c r="H28" s="186"/>
      <c r="I28" s="82"/>
      <c r="J28" s="181">
        <f>SUM(J27:M27)</f>
        <v>39250</v>
      </c>
      <c r="K28" s="182"/>
      <c r="L28" s="182"/>
      <c r="M28" s="183"/>
      <c r="N28" s="83"/>
      <c r="O28" s="184">
        <f>+J28/O27*1000</f>
        <v>34429.824561403504</v>
      </c>
      <c r="P28" s="184"/>
      <c r="Q28" s="48"/>
      <c r="R28" s="184">
        <f>+M28/R27*1000</f>
        <v>0</v>
      </c>
      <c r="S28" s="184"/>
      <c r="T28" s="48"/>
    </row>
    <row r="30" spans="2:20" x14ac:dyDescent="0.25">
      <c r="D30" s="71" t="s">
        <v>47</v>
      </c>
    </row>
  </sheetData>
  <mergeCells count="46">
    <mergeCell ref="R4:S4"/>
    <mergeCell ref="R14:S14"/>
    <mergeCell ref="R15:S15"/>
    <mergeCell ref="R17:S17"/>
    <mergeCell ref="R27:S27"/>
    <mergeCell ref="R28:S28"/>
    <mergeCell ref="R13:S13"/>
    <mergeCell ref="O27:P27"/>
    <mergeCell ref="D28:E28"/>
    <mergeCell ref="G28:H28"/>
    <mergeCell ref="J28:M28"/>
    <mergeCell ref="O28:P28"/>
    <mergeCell ref="J13:K13"/>
    <mergeCell ref="G13:H13"/>
    <mergeCell ref="L13:M13"/>
    <mergeCell ref="D2:P2"/>
    <mergeCell ref="D26:E26"/>
    <mergeCell ref="G26:H26"/>
    <mergeCell ref="J26:K26"/>
    <mergeCell ref="L26:M26"/>
    <mergeCell ref="D15:E15"/>
    <mergeCell ref="D17:E17"/>
    <mergeCell ref="G17:H17"/>
    <mergeCell ref="J17:K17"/>
    <mergeCell ref="L17:M17"/>
    <mergeCell ref="O17:P17"/>
    <mergeCell ref="O14:P14"/>
    <mergeCell ref="J15:M15"/>
    <mergeCell ref="O15:P15"/>
    <mergeCell ref="G15:H15"/>
    <mergeCell ref="D13:E13"/>
    <mergeCell ref="B27:B28"/>
    <mergeCell ref="D27:E27"/>
    <mergeCell ref="G27:H27"/>
    <mergeCell ref="J27:K27"/>
    <mergeCell ref="L27:M27"/>
    <mergeCell ref="B14:B15"/>
    <mergeCell ref="D14:E14"/>
    <mergeCell ref="J14:K14"/>
    <mergeCell ref="G14:H14"/>
    <mergeCell ref="L14:M14"/>
    <mergeCell ref="D4:E4"/>
    <mergeCell ref="J4:K4"/>
    <mergeCell ref="G4:H4"/>
    <mergeCell ref="L4:M4"/>
    <mergeCell ref="O4:P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134B9-AA87-4510-8ED9-09C10AAE2FF0}">
  <dimension ref="B2:AF33"/>
  <sheetViews>
    <sheetView showGridLines="0" showZeros="0" zoomScale="85" zoomScaleNormal="85" workbookViewId="0">
      <selection activeCell="AE16" activeCellId="1" sqref="AE4:AF11 AE16:AF23"/>
    </sheetView>
  </sheetViews>
  <sheetFormatPr defaultRowHeight="15" x14ac:dyDescent="0.25"/>
  <cols>
    <col min="1" max="1" width="2.5703125" customWidth="1"/>
    <col min="2" max="2" width="10.140625" style="1" customWidth="1"/>
    <col min="3" max="3" width="1.5703125" customWidth="1"/>
    <col min="4" max="4" width="9.28515625" style="21" customWidth="1"/>
    <col min="5" max="5" width="11.140625" style="21" customWidth="1"/>
    <col min="6" max="6" width="1.5703125" customWidth="1"/>
    <col min="7" max="7" width="11.140625" style="5" customWidth="1"/>
    <col min="8" max="8" width="12" style="5" customWidth="1"/>
    <col min="9" max="9" width="1.28515625" customWidth="1"/>
    <col min="10" max="10" width="10" style="5" customWidth="1"/>
    <col min="11" max="11" width="12" style="5" customWidth="1"/>
    <col min="12" max="12" width="1.140625" customWidth="1"/>
    <col min="13" max="13" width="11" style="5" customWidth="1"/>
    <col min="14" max="14" width="12" style="5" customWidth="1"/>
    <col min="15" max="15" width="1.5703125" customWidth="1"/>
    <col min="16" max="16" width="11.140625" style="5" customWidth="1"/>
    <col min="17" max="17" width="12" style="5" customWidth="1"/>
    <col min="18" max="18" width="1.42578125" customWidth="1"/>
    <col min="19" max="19" width="11" style="5" customWidth="1"/>
    <col min="20" max="20" width="12" style="5" customWidth="1"/>
    <col min="21" max="21" width="1.42578125" customWidth="1"/>
    <col min="22" max="22" width="11.140625" style="5" customWidth="1"/>
    <col min="23" max="23" width="12" style="5" customWidth="1"/>
    <col min="24" max="24" width="1.5703125" customWidth="1"/>
    <col min="25" max="25" width="12.28515625" style="41" customWidth="1"/>
    <col min="26" max="26" width="12.85546875" style="41" customWidth="1"/>
    <col min="27" max="27" width="1.85546875" customWidth="1"/>
    <col min="28" max="28" width="12.28515625" style="41" customWidth="1"/>
    <col min="29" max="29" width="13.140625" style="41" customWidth="1"/>
    <col min="30" max="30" width="1.85546875" customWidth="1"/>
    <col min="31" max="31" width="12.28515625" style="41" customWidth="1"/>
    <col min="32" max="32" width="13.140625" style="41" customWidth="1"/>
  </cols>
  <sheetData>
    <row r="2" spans="2:32" x14ac:dyDescent="0.25">
      <c r="C2" s="23"/>
      <c r="D2" s="136" t="s">
        <v>19</v>
      </c>
      <c r="E2" s="136"/>
      <c r="F2" s="23"/>
      <c r="G2" s="187"/>
      <c r="H2" s="187"/>
      <c r="I2" s="25"/>
      <c r="J2" s="188" t="s">
        <v>20</v>
      </c>
      <c r="K2" s="189"/>
      <c r="L2" s="25"/>
      <c r="M2" s="187" t="s">
        <v>0</v>
      </c>
      <c r="N2" s="187"/>
      <c r="O2" s="23"/>
      <c r="P2" s="188" t="s">
        <v>20</v>
      </c>
      <c r="Q2" s="189"/>
      <c r="R2" s="25"/>
      <c r="S2" s="187"/>
      <c r="T2" s="187"/>
      <c r="U2" s="25"/>
      <c r="V2" s="187" t="s">
        <v>1</v>
      </c>
      <c r="W2" s="187"/>
      <c r="X2" s="23"/>
      <c r="Y2" s="190" t="s">
        <v>21</v>
      </c>
      <c r="Z2" s="190"/>
      <c r="AB2" s="190" t="s">
        <v>22</v>
      </c>
      <c r="AC2" s="190"/>
      <c r="AE2" s="190" t="s">
        <v>22</v>
      </c>
      <c r="AF2" s="190"/>
    </row>
    <row r="3" spans="2:32" x14ac:dyDescent="0.25">
      <c r="C3" s="23"/>
      <c r="D3" s="136" t="s">
        <v>6</v>
      </c>
      <c r="E3" s="136"/>
      <c r="F3" s="23"/>
      <c r="G3" s="187" t="s">
        <v>5</v>
      </c>
      <c r="H3" s="187"/>
      <c r="I3" s="25"/>
      <c r="J3" s="188" t="s">
        <v>23</v>
      </c>
      <c r="K3" s="189"/>
      <c r="L3" s="25"/>
      <c r="M3" s="187" t="s">
        <v>5</v>
      </c>
      <c r="N3" s="187"/>
      <c r="O3" s="23"/>
      <c r="P3" s="188" t="s">
        <v>24</v>
      </c>
      <c r="Q3" s="189"/>
      <c r="R3" s="25"/>
      <c r="S3" s="187" t="s">
        <v>8</v>
      </c>
      <c r="T3" s="187"/>
      <c r="U3" s="25"/>
      <c r="V3" s="187" t="s">
        <v>9</v>
      </c>
      <c r="W3" s="187"/>
      <c r="X3" s="23"/>
      <c r="Y3" s="190" t="s">
        <v>10</v>
      </c>
      <c r="Z3" s="190"/>
      <c r="AB3" s="190" t="s">
        <v>10</v>
      </c>
      <c r="AC3" s="190"/>
      <c r="AE3" s="190" t="s">
        <v>10</v>
      </c>
      <c r="AF3" s="190"/>
    </row>
    <row r="4" spans="2:32" x14ac:dyDescent="0.25">
      <c r="B4" s="2" t="s">
        <v>11</v>
      </c>
      <c r="C4" s="23"/>
      <c r="D4" s="19">
        <v>25</v>
      </c>
      <c r="E4" s="19">
        <v>75</v>
      </c>
      <c r="F4" s="23"/>
      <c r="G4" s="4">
        <f>+Sheet1!D4*1000000</f>
        <v>2750000</v>
      </c>
      <c r="H4" s="4">
        <f>+Sheet1!E4*1000000</f>
        <v>2750000</v>
      </c>
      <c r="J4" s="4">
        <f t="shared" ref="J4:K11" si="0">+$K$12*D4/$E$12</f>
        <v>138248.84792626728</v>
      </c>
      <c r="K4" s="4">
        <f t="shared" si="0"/>
        <v>414746.54377880186</v>
      </c>
      <c r="M4" s="4">
        <f>+G4+J4</f>
        <v>2888248.8479262674</v>
      </c>
      <c r="N4" s="4">
        <f t="shared" ref="N4:N11" si="1">+H4+K4</f>
        <v>3164746.5437788018</v>
      </c>
      <c r="O4" s="23"/>
      <c r="P4" s="4">
        <f>+$Q$12*D4/$E$12</f>
        <v>322580.6451612903</v>
      </c>
      <c r="Q4" s="4">
        <f t="shared" ref="Q4:Q11" si="2">+$Q$12*E4/$E$12</f>
        <v>967741.93548387091</v>
      </c>
      <c r="S4" s="4">
        <f>+Sheet1!M4*1000000</f>
        <v>0</v>
      </c>
      <c r="T4" s="4">
        <f>+Sheet1!N4*1000000</f>
        <v>875000</v>
      </c>
      <c r="V4" s="4">
        <f>+P4+S4</f>
        <v>322580.6451612903</v>
      </c>
      <c r="W4" s="4">
        <f t="shared" ref="W4:W11" si="3">+Q4+T4</f>
        <v>1842741.935483871</v>
      </c>
      <c r="X4" s="23"/>
      <c r="Y4" s="39">
        <f>+M4-V4</f>
        <v>2565668.2027649772</v>
      </c>
      <c r="Z4" s="39">
        <f t="shared" ref="Z4:Z11" si="4">+N4-W4</f>
        <v>1322004.6082949308</v>
      </c>
      <c r="AB4" s="39">
        <v>2600000</v>
      </c>
      <c r="AC4" s="39">
        <v>1400000</v>
      </c>
      <c r="AE4" s="15">
        <f>+AB4/$AC$26</f>
        <v>0.12149532710280374</v>
      </c>
      <c r="AF4" s="15">
        <f t="shared" ref="AF4:AF11" si="5">+AC4/$AC$26</f>
        <v>6.5420560747663545E-2</v>
      </c>
    </row>
    <row r="5" spans="2:32" x14ac:dyDescent="0.25">
      <c r="B5" s="2" t="s">
        <v>12</v>
      </c>
      <c r="C5" s="23"/>
      <c r="D5" s="19">
        <v>95</v>
      </c>
      <c r="E5" s="19">
        <v>95</v>
      </c>
      <c r="F5" s="23"/>
      <c r="G5" s="4">
        <f>+Sheet1!D5*1000000</f>
        <v>3000000</v>
      </c>
      <c r="H5" s="4">
        <f>+Sheet1!E5*1000000</f>
        <v>3000000</v>
      </c>
      <c r="J5" s="4">
        <f t="shared" si="0"/>
        <v>525345.62211981567</v>
      </c>
      <c r="K5" s="4">
        <f t="shared" si="0"/>
        <v>525345.62211981567</v>
      </c>
      <c r="M5" s="4">
        <f t="shared" ref="M5:M11" si="6">+G5+J5</f>
        <v>3525345.6221198156</v>
      </c>
      <c r="N5" s="4">
        <f t="shared" si="1"/>
        <v>3525345.6221198156</v>
      </c>
      <c r="O5" s="23"/>
      <c r="P5" s="4">
        <f t="shared" ref="P5:P11" si="7">+$Q$12*D5/$E$12</f>
        <v>1225806.4516129033</v>
      </c>
      <c r="Q5" s="4">
        <f t="shared" si="2"/>
        <v>1225806.4516129033</v>
      </c>
      <c r="S5" s="4">
        <f>+Sheet1!M5*1000000</f>
        <v>1750000</v>
      </c>
      <c r="T5" s="4">
        <f>+Sheet1!N5*1000000</f>
        <v>1750000</v>
      </c>
      <c r="V5" s="4">
        <f t="shared" ref="V5:V11" si="8">+P5+S5</f>
        <v>2975806.4516129033</v>
      </c>
      <c r="W5" s="4">
        <f t="shared" si="3"/>
        <v>2975806.4516129033</v>
      </c>
      <c r="X5" s="23"/>
      <c r="Y5" s="39">
        <f t="shared" ref="Y5:Y11" si="9">+M5-V5</f>
        <v>549539.17050691228</v>
      </c>
      <c r="Z5" s="39">
        <f t="shared" si="4"/>
        <v>549539.17050691228</v>
      </c>
      <c r="AB5" s="39">
        <v>600000</v>
      </c>
      <c r="AC5" s="39">
        <v>600000</v>
      </c>
      <c r="AE5" s="15">
        <f t="shared" ref="AE5:AE11" si="10">+AB5/$AC$26</f>
        <v>2.8037383177570093E-2</v>
      </c>
      <c r="AF5" s="15">
        <f t="shared" si="5"/>
        <v>2.8037383177570093E-2</v>
      </c>
    </row>
    <row r="6" spans="2:32" x14ac:dyDescent="0.25">
      <c r="B6" s="2" t="s">
        <v>13</v>
      </c>
      <c r="C6" s="23"/>
      <c r="D6" s="20"/>
      <c r="E6" s="20"/>
      <c r="F6" s="23"/>
      <c r="G6" s="7">
        <f>+Sheet1!D6*1000000</f>
        <v>3000000</v>
      </c>
      <c r="H6" s="7">
        <f>+Sheet1!E6*1000000</f>
        <v>3000000</v>
      </c>
      <c r="J6" s="7">
        <f t="shared" si="0"/>
        <v>0</v>
      </c>
      <c r="K6" s="7">
        <f t="shared" si="0"/>
        <v>0</v>
      </c>
      <c r="M6" s="7"/>
      <c r="N6" s="7"/>
      <c r="O6" s="23"/>
      <c r="P6" s="7">
        <f t="shared" si="7"/>
        <v>0</v>
      </c>
      <c r="Q6" s="7">
        <f t="shared" si="2"/>
        <v>0</v>
      </c>
      <c r="S6" s="7">
        <f>+Sheet1!M6*1000000</f>
        <v>0</v>
      </c>
      <c r="T6" s="7">
        <f>+Sheet1!N6*1000000</f>
        <v>0</v>
      </c>
      <c r="V6" s="7">
        <f t="shared" si="8"/>
        <v>0</v>
      </c>
      <c r="W6" s="7">
        <f t="shared" si="3"/>
        <v>0</v>
      </c>
      <c r="X6" s="23"/>
      <c r="Y6" s="40">
        <f t="shared" si="9"/>
        <v>0</v>
      </c>
      <c r="Z6" s="40">
        <f t="shared" si="4"/>
        <v>0</v>
      </c>
      <c r="AB6" s="40">
        <f t="shared" ref="AB6:AB11" si="11">+P6-Y6</f>
        <v>0</v>
      </c>
      <c r="AC6" s="40">
        <f t="shared" ref="AC6" si="12">+Q6-Z6</f>
        <v>0</v>
      </c>
      <c r="AE6" s="16">
        <f t="shared" si="10"/>
        <v>0</v>
      </c>
      <c r="AF6" s="16">
        <f t="shared" si="5"/>
        <v>0</v>
      </c>
    </row>
    <row r="7" spans="2:32" x14ac:dyDescent="0.25">
      <c r="B7" s="2" t="s">
        <v>14</v>
      </c>
      <c r="C7" s="23"/>
      <c r="D7" s="19">
        <v>95</v>
      </c>
      <c r="E7" s="19">
        <v>95</v>
      </c>
      <c r="F7" s="23"/>
      <c r="G7" s="4">
        <f>+Sheet1!D7*1000000</f>
        <v>3000000</v>
      </c>
      <c r="H7" s="4">
        <f>+Sheet1!E7*1000000</f>
        <v>3000000</v>
      </c>
      <c r="J7" s="4">
        <f t="shared" si="0"/>
        <v>525345.62211981567</v>
      </c>
      <c r="K7" s="4">
        <f t="shared" si="0"/>
        <v>525345.62211981567</v>
      </c>
      <c r="M7" s="4">
        <f t="shared" si="6"/>
        <v>3525345.6221198156</v>
      </c>
      <c r="N7" s="4">
        <f t="shared" si="1"/>
        <v>3525345.6221198156</v>
      </c>
      <c r="O7" s="23"/>
      <c r="P7" s="4">
        <f t="shared" si="7"/>
        <v>1225806.4516129033</v>
      </c>
      <c r="Q7" s="4">
        <f t="shared" si="2"/>
        <v>1225806.4516129033</v>
      </c>
      <c r="S7" s="4">
        <f>+Sheet1!M7*1000000</f>
        <v>1750000</v>
      </c>
      <c r="T7" s="4">
        <f>+Sheet1!N7*1000000</f>
        <v>1750000</v>
      </c>
      <c r="V7" s="4">
        <f t="shared" si="8"/>
        <v>2975806.4516129033</v>
      </c>
      <c r="W7" s="4">
        <f t="shared" si="3"/>
        <v>2975806.4516129033</v>
      </c>
      <c r="X7" s="23"/>
      <c r="Y7" s="39">
        <f t="shared" si="9"/>
        <v>549539.17050691228</v>
      </c>
      <c r="Z7" s="39">
        <f t="shared" si="4"/>
        <v>549539.17050691228</v>
      </c>
      <c r="AB7" s="39">
        <v>600000</v>
      </c>
      <c r="AC7" s="39">
        <v>600000</v>
      </c>
      <c r="AE7" s="15">
        <f t="shared" si="10"/>
        <v>2.8037383177570093E-2</v>
      </c>
      <c r="AF7" s="15">
        <f t="shared" si="5"/>
        <v>2.8037383177570093E-2</v>
      </c>
    </row>
    <row r="8" spans="2:32" x14ac:dyDescent="0.25">
      <c r="B8" s="2" t="s">
        <v>15</v>
      </c>
      <c r="C8" s="23"/>
      <c r="D8" s="19">
        <v>95</v>
      </c>
      <c r="E8" s="19">
        <v>95</v>
      </c>
      <c r="F8" s="23"/>
      <c r="G8" s="4">
        <f>+Sheet1!D8*1000000</f>
        <v>3000000</v>
      </c>
      <c r="H8" s="4">
        <f>+Sheet1!E8*1000000</f>
        <v>3000000</v>
      </c>
      <c r="J8" s="4">
        <f t="shared" si="0"/>
        <v>525345.62211981567</v>
      </c>
      <c r="K8" s="4">
        <f t="shared" si="0"/>
        <v>525345.62211981567</v>
      </c>
      <c r="M8" s="4">
        <f t="shared" si="6"/>
        <v>3525345.6221198156</v>
      </c>
      <c r="N8" s="4">
        <f t="shared" si="1"/>
        <v>3525345.6221198156</v>
      </c>
      <c r="O8" s="23"/>
      <c r="P8" s="4">
        <f t="shared" si="7"/>
        <v>1225806.4516129033</v>
      </c>
      <c r="Q8" s="4">
        <f t="shared" si="2"/>
        <v>1225806.4516129033</v>
      </c>
      <c r="S8" s="4">
        <f>+Sheet1!M8*1000000</f>
        <v>1750000</v>
      </c>
      <c r="T8" s="4">
        <f>+Sheet1!N8*1000000</f>
        <v>1750000</v>
      </c>
      <c r="V8" s="4">
        <f t="shared" si="8"/>
        <v>2975806.4516129033</v>
      </c>
      <c r="W8" s="4">
        <f t="shared" si="3"/>
        <v>2975806.4516129033</v>
      </c>
      <c r="X8" s="23"/>
      <c r="Y8" s="39">
        <f t="shared" si="9"/>
        <v>549539.17050691228</v>
      </c>
      <c r="Z8" s="39">
        <f t="shared" si="4"/>
        <v>549539.17050691228</v>
      </c>
      <c r="AB8" s="39">
        <v>600000</v>
      </c>
      <c r="AC8" s="39">
        <v>600000</v>
      </c>
      <c r="AE8" s="15">
        <f t="shared" si="10"/>
        <v>2.8037383177570093E-2</v>
      </c>
      <c r="AF8" s="15">
        <f t="shared" si="5"/>
        <v>2.8037383177570093E-2</v>
      </c>
    </row>
    <row r="9" spans="2:32" x14ac:dyDescent="0.25">
      <c r="B9" s="2" t="s">
        <v>16</v>
      </c>
      <c r="C9" s="23"/>
      <c r="D9" s="19">
        <v>95</v>
      </c>
      <c r="E9" s="19">
        <v>95</v>
      </c>
      <c r="F9" s="23"/>
      <c r="G9" s="4">
        <f>+Sheet1!D9*1000000</f>
        <v>3000000</v>
      </c>
      <c r="H9" s="4">
        <f>+Sheet1!E9*1000000</f>
        <v>3000000</v>
      </c>
      <c r="J9" s="4">
        <f t="shared" si="0"/>
        <v>525345.62211981567</v>
      </c>
      <c r="K9" s="4">
        <f t="shared" si="0"/>
        <v>525345.62211981567</v>
      </c>
      <c r="M9" s="4">
        <f t="shared" si="6"/>
        <v>3525345.6221198156</v>
      </c>
      <c r="N9" s="4">
        <f t="shared" si="1"/>
        <v>3525345.6221198156</v>
      </c>
      <c r="O9" s="23"/>
      <c r="P9" s="4">
        <f t="shared" si="7"/>
        <v>1225806.4516129033</v>
      </c>
      <c r="Q9" s="4">
        <f t="shared" si="2"/>
        <v>1225806.4516129033</v>
      </c>
      <c r="S9" s="4">
        <f>+Sheet1!M9*1000000</f>
        <v>1750000</v>
      </c>
      <c r="T9" s="4">
        <f>+Sheet1!N9*1000000</f>
        <v>1750000</v>
      </c>
      <c r="V9" s="4">
        <f t="shared" si="8"/>
        <v>2975806.4516129033</v>
      </c>
      <c r="W9" s="4">
        <f t="shared" si="3"/>
        <v>2975806.4516129033</v>
      </c>
      <c r="X9" s="23"/>
      <c r="Y9" s="39">
        <f t="shared" si="9"/>
        <v>549539.17050691228</v>
      </c>
      <c r="Z9" s="39">
        <f t="shared" si="4"/>
        <v>549539.17050691228</v>
      </c>
      <c r="AB9" s="39">
        <v>600000</v>
      </c>
      <c r="AC9" s="39">
        <v>600000</v>
      </c>
      <c r="AE9" s="15">
        <f t="shared" si="10"/>
        <v>2.8037383177570093E-2</v>
      </c>
      <c r="AF9" s="15">
        <f t="shared" si="5"/>
        <v>2.8037383177570093E-2</v>
      </c>
    </row>
    <row r="10" spans="2:32" x14ac:dyDescent="0.25">
      <c r="B10" s="2" t="s">
        <v>17</v>
      </c>
      <c r="C10" s="23"/>
      <c r="D10" s="19">
        <v>75</v>
      </c>
      <c r="E10" s="19">
        <v>75</v>
      </c>
      <c r="F10" s="23"/>
      <c r="G10" s="4">
        <f>+Sheet1!D10*1000000</f>
        <v>2500000</v>
      </c>
      <c r="H10" s="4">
        <f>+Sheet1!E10*1000000</f>
        <v>2500000</v>
      </c>
      <c r="J10" s="4">
        <f t="shared" si="0"/>
        <v>414746.54377880186</v>
      </c>
      <c r="K10" s="4">
        <f t="shared" si="0"/>
        <v>414746.54377880186</v>
      </c>
      <c r="M10" s="4">
        <f t="shared" si="6"/>
        <v>2914746.5437788018</v>
      </c>
      <c r="N10" s="4">
        <f t="shared" si="1"/>
        <v>2914746.5437788018</v>
      </c>
      <c r="O10" s="23"/>
      <c r="P10" s="4">
        <f t="shared" si="7"/>
        <v>967741.93548387091</v>
      </c>
      <c r="Q10" s="4">
        <f t="shared" si="2"/>
        <v>967741.93548387091</v>
      </c>
      <c r="S10" s="4">
        <f>+Sheet1!M10*1000000</f>
        <v>1750000</v>
      </c>
      <c r="T10" s="4">
        <f>+Sheet1!N10*1000000</f>
        <v>1750000</v>
      </c>
      <c r="V10" s="4">
        <f t="shared" si="8"/>
        <v>2717741.935483871</v>
      </c>
      <c r="W10" s="4">
        <f t="shared" si="3"/>
        <v>2717741.935483871</v>
      </c>
      <c r="X10" s="23"/>
      <c r="Y10" s="39">
        <f t="shared" si="9"/>
        <v>197004.60829493077</v>
      </c>
      <c r="Z10" s="39">
        <f t="shared" si="4"/>
        <v>197004.60829493077</v>
      </c>
      <c r="AB10" s="39">
        <v>250000</v>
      </c>
      <c r="AC10" s="39">
        <v>250000</v>
      </c>
      <c r="AE10" s="15">
        <f t="shared" si="10"/>
        <v>1.1682242990654205E-2</v>
      </c>
      <c r="AF10" s="15">
        <f t="shared" si="5"/>
        <v>1.1682242990654205E-2</v>
      </c>
    </row>
    <row r="11" spans="2:32" x14ac:dyDescent="0.25">
      <c r="B11" s="2" t="s">
        <v>18</v>
      </c>
      <c r="C11" s="23"/>
      <c r="D11" s="19"/>
      <c r="E11" s="19">
        <v>75</v>
      </c>
      <c r="F11" s="23"/>
      <c r="G11" s="4">
        <f>+Sheet1!D11*1000000</f>
        <v>0</v>
      </c>
      <c r="H11" s="4">
        <f>+Sheet1!E11*1000000</f>
        <v>2500000</v>
      </c>
      <c r="J11" s="4">
        <f t="shared" si="0"/>
        <v>0</v>
      </c>
      <c r="K11" s="4">
        <f t="shared" si="0"/>
        <v>414746.54377880186</v>
      </c>
      <c r="M11" s="4">
        <f t="shared" si="6"/>
        <v>0</v>
      </c>
      <c r="N11" s="4">
        <f t="shared" si="1"/>
        <v>2914746.5437788018</v>
      </c>
      <c r="O11" s="23"/>
      <c r="P11" s="4">
        <f t="shared" si="7"/>
        <v>0</v>
      </c>
      <c r="Q11" s="4">
        <f t="shared" si="2"/>
        <v>967741.93548387091</v>
      </c>
      <c r="S11" s="4">
        <f>+Sheet1!M11*1000000</f>
        <v>0</v>
      </c>
      <c r="T11" s="4">
        <f>+Sheet1!N11*1000000</f>
        <v>875000</v>
      </c>
      <c r="V11" s="4">
        <f t="shared" si="8"/>
        <v>0</v>
      </c>
      <c r="W11" s="4">
        <f t="shared" si="3"/>
        <v>1842741.935483871</v>
      </c>
      <c r="X11" s="23"/>
      <c r="Y11" s="39">
        <f t="shared" si="9"/>
        <v>0</v>
      </c>
      <c r="Z11" s="39">
        <f t="shared" si="4"/>
        <v>1072004.6082949308</v>
      </c>
      <c r="AB11" s="39">
        <f t="shared" si="11"/>
        <v>0</v>
      </c>
      <c r="AC11" s="39">
        <v>1100000</v>
      </c>
      <c r="AE11" s="15">
        <f t="shared" si="10"/>
        <v>0</v>
      </c>
      <c r="AF11" s="15">
        <f t="shared" si="5"/>
        <v>5.1401869158878503E-2</v>
      </c>
    </row>
    <row r="12" spans="2:32" x14ac:dyDescent="0.25">
      <c r="C12" s="23"/>
      <c r="E12" s="22">
        <f>SUM(D4:E11)</f>
        <v>1085</v>
      </c>
      <c r="F12" s="23"/>
      <c r="H12" s="6">
        <f>SUM(G4:H11)</f>
        <v>43000000</v>
      </c>
      <c r="K12" s="6">
        <v>6000000</v>
      </c>
      <c r="N12" s="6">
        <f>SUM(M4:N11)</f>
        <v>42999999.999999993</v>
      </c>
      <c r="O12" s="23"/>
      <c r="Q12" s="6">
        <v>14000000</v>
      </c>
      <c r="T12" s="6">
        <f>SUM(S4:T11)</f>
        <v>19250000</v>
      </c>
      <c r="W12" s="6">
        <f>SUM(V4:W11)</f>
        <v>33250000.000000007</v>
      </c>
      <c r="X12" s="23"/>
      <c r="Z12" s="42">
        <f>SUM(Y4:Z11)</f>
        <v>9749999.9999999981</v>
      </c>
      <c r="AC12" s="42">
        <f>SUM(AB4:AC11)</f>
        <v>10400000</v>
      </c>
      <c r="AF12" s="42">
        <f>SUM(AE4:AF11)</f>
        <v>0.4859813084112149</v>
      </c>
    </row>
    <row r="13" spans="2:32" x14ac:dyDescent="0.25">
      <c r="B13"/>
      <c r="D13"/>
      <c r="E13"/>
      <c r="G13"/>
      <c r="H13"/>
      <c r="J13"/>
      <c r="K13"/>
      <c r="M13"/>
      <c r="N13"/>
      <c r="P13"/>
      <c r="Q13"/>
      <c r="S13"/>
      <c r="T13"/>
      <c r="V13"/>
      <c r="W13"/>
      <c r="Y13"/>
      <c r="Z13"/>
      <c r="AB13"/>
      <c r="AC13"/>
      <c r="AE13"/>
      <c r="AF13"/>
    </row>
    <row r="14" spans="2:32" x14ac:dyDescent="0.25">
      <c r="C14" s="23"/>
      <c r="D14" s="136" t="s">
        <v>25</v>
      </c>
      <c r="E14" s="136"/>
      <c r="F14" s="23"/>
      <c r="G14" s="187"/>
      <c r="H14" s="187"/>
      <c r="I14" s="25"/>
      <c r="J14" s="188" t="s">
        <v>20</v>
      </c>
      <c r="K14" s="189"/>
      <c r="L14" s="25"/>
      <c r="M14" s="187" t="s">
        <v>0</v>
      </c>
      <c r="N14" s="187"/>
      <c r="O14" s="23"/>
      <c r="P14" s="188" t="s">
        <v>20</v>
      </c>
      <c r="Q14" s="189"/>
      <c r="R14" s="25"/>
      <c r="S14" s="187"/>
      <c r="T14" s="187"/>
      <c r="U14" s="25"/>
      <c r="V14" s="187" t="s">
        <v>1</v>
      </c>
      <c r="W14" s="187"/>
      <c r="X14" s="23"/>
      <c r="Y14" s="190" t="s">
        <v>21</v>
      </c>
      <c r="Z14" s="190"/>
      <c r="AB14" s="190" t="s">
        <v>22</v>
      </c>
      <c r="AC14" s="190"/>
      <c r="AE14" s="190" t="s">
        <v>22</v>
      </c>
      <c r="AF14" s="190"/>
    </row>
    <row r="15" spans="2:32" x14ac:dyDescent="0.25">
      <c r="C15" s="23"/>
      <c r="D15" s="136" t="s">
        <v>6</v>
      </c>
      <c r="E15" s="136"/>
      <c r="F15" s="23"/>
      <c r="G15" s="187" t="s">
        <v>5</v>
      </c>
      <c r="H15" s="187"/>
      <c r="I15" s="25"/>
      <c r="J15" s="188" t="s">
        <v>23</v>
      </c>
      <c r="K15" s="189"/>
      <c r="L15" s="25"/>
      <c r="M15" s="187" t="s">
        <v>5</v>
      </c>
      <c r="N15" s="187"/>
      <c r="O15" s="23"/>
      <c r="P15" s="188" t="s">
        <v>24</v>
      </c>
      <c r="Q15" s="189"/>
      <c r="R15" s="25"/>
      <c r="S15" s="187" t="s">
        <v>8</v>
      </c>
      <c r="T15" s="187"/>
      <c r="U15" s="25"/>
      <c r="V15" s="187" t="s">
        <v>9</v>
      </c>
      <c r="W15" s="187"/>
      <c r="X15" s="23"/>
      <c r="Y15" s="190" t="s">
        <v>10</v>
      </c>
      <c r="Z15" s="190"/>
      <c r="AB15" s="190" t="s">
        <v>10</v>
      </c>
      <c r="AC15" s="190"/>
      <c r="AE15" s="190" t="s">
        <v>10</v>
      </c>
      <c r="AF15" s="190"/>
    </row>
    <row r="16" spans="2:32" x14ac:dyDescent="0.25">
      <c r="B16" s="2" t="s">
        <v>11</v>
      </c>
      <c r="C16" s="23"/>
      <c r="D16" s="19">
        <v>25</v>
      </c>
      <c r="E16" s="19">
        <v>25</v>
      </c>
      <c r="F16" s="23"/>
      <c r="G16" s="4">
        <f>+Sheet1!D15*1000000</f>
        <v>2750000</v>
      </c>
      <c r="H16" s="4">
        <f>+Sheet1!E15*1000000</f>
        <v>2750000</v>
      </c>
      <c r="J16" s="4">
        <f>+$K$24*D16/$E$24</f>
        <v>135135.13513513515</v>
      </c>
      <c r="K16" s="4">
        <f t="shared" ref="K16:K23" si="13">+$K$24*E16/$E$24</f>
        <v>135135.13513513515</v>
      </c>
      <c r="M16" s="4">
        <f t="shared" ref="M16:M23" si="14">+G16+J16</f>
        <v>2885135.1351351351</v>
      </c>
      <c r="N16" s="4">
        <f t="shared" ref="N16:N23" si="15">+H16+K16</f>
        <v>2885135.1351351351</v>
      </c>
      <c r="O16" s="23"/>
      <c r="P16" s="4">
        <f>+$Q$24*D16/$E$24</f>
        <v>315315.31531531533</v>
      </c>
      <c r="Q16" s="4">
        <f t="shared" ref="Q16:Q23" si="16">+$Q$24*E16/$E$24</f>
        <v>315315.31531531533</v>
      </c>
      <c r="S16" s="4">
        <f>+Sheet1!M15*1000000</f>
        <v>0</v>
      </c>
      <c r="T16" s="4">
        <f>+Sheet1!N15*1000000</f>
        <v>0</v>
      </c>
      <c r="V16" s="4">
        <f>+P16+S16</f>
        <v>315315.31531531533</v>
      </c>
      <c r="W16" s="4">
        <f t="shared" ref="W16:W23" si="17">+Q16+T16</f>
        <v>315315.31531531533</v>
      </c>
      <c r="X16" s="23"/>
      <c r="Y16" s="39">
        <f>+M16-V16</f>
        <v>2569819.8198198196</v>
      </c>
      <c r="Z16" s="39">
        <f t="shared" ref="Z16:Z23" si="18">+N16-W16</f>
        <v>2569819.8198198196</v>
      </c>
      <c r="AB16" s="39">
        <v>2600000</v>
      </c>
      <c r="AC16" s="39">
        <v>2600000</v>
      </c>
      <c r="AE16" s="15">
        <f t="shared" ref="AE16:AE23" si="19">+AB16/$AC$26</f>
        <v>0.12149532710280374</v>
      </c>
      <c r="AF16" s="15">
        <f t="shared" ref="AF16:AF23" si="20">+AC16/$AC$26</f>
        <v>0.12149532710280374</v>
      </c>
    </row>
    <row r="17" spans="2:32" x14ac:dyDescent="0.25">
      <c r="B17" s="2" t="s">
        <v>12</v>
      </c>
      <c r="C17" s="23"/>
      <c r="D17" s="19">
        <v>95</v>
      </c>
      <c r="E17" s="19">
        <v>95</v>
      </c>
      <c r="F17" s="23"/>
      <c r="G17" s="4">
        <f>+Sheet1!D16*1000000</f>
        <v>3000000</v>
      </c>
      <c r="H17" s="4">
        <f>+Sheet1!E16*1000000</f>
        <v>3000000</v>
      </c>
      <c r="J17" s="4">
        <f t="shared" ref="J17:J23" si="21">+$K$24*D17/$E$24</f>
        <v>513513.51351351349</v>
      </c>
      <c r="K17" s="4">
        <f t="shared" si="13"/>
        <v>513513.51351351349</v>
      </c>
      <c r="M17" s="4">
        <f t="shared" si="14"/>
        <v>3513513.5135135134</v>
      </c>
      <c r="N17" s="4">
        <f t="shared" si="15"/>
        <v>3513513.5135135134</v>
      </c>
      <c r="O17" s="23"/>
      <c r="P17" s="4">
        <f t="shared" ref="P17:P23" si="22">+$Q$24*D17/$E$24</f>
        <v>1198198.1981981981</v>
      </c>
      <c r="Q17" s="4">
        <f t="shared" si="16"/>
        <v>1198198.1981981981</v>
      </c>
      <c r="S17" s="4">
        <f>+Sheet1!M16*1000000</f>
        <v>1750000</v>
      </c>
      <c r="T17" s="4">
        <f>+Sheet1!N16*1000000</f>
        <v>1750000</v>
      </c>
      <c r="V17" s="4">
        <f t="shared" ref="V17:V23" si="23">+P17+S17</f>
        <v>2948198.1981981983</v>
      </c>
      <c r="W17" s="4">
        <f t="shared" si="17"/>
        <v>2948198.1981981983</v>
      </c>
      <c r="X17" s="23"/>
      <c r="Y17" s="39">
        <f t="shared" ref="Y17:Y23" si="24">+M17-V17</f>
        <v>565315.31531531503</v>
      </c>
      <c r="Z17" s="39">
        <f t="shared" si="18"/>
        <v>565315.31531531503</v>
      </c>
      <c r="AB17" s="39">
        <v>600000</v>
      </c>
      <c r="AC17" s="39">
        <v>600000</v>
      </c>
      <c r="AE17" s="15">
        <f t="shared" si="19"/>
        <v>2.8037383177570093E-2</v>
      </c>
      <c r="AF17" s="15">
        <f t="shared" si="20"/>
        <v>2.8037383177570093E-2</v>
      </c>
    </row>
    <row r="18" spans="2:32" x14ac:dyDescent="0.25">
      <c r="B18" s="2" t="s">
        <v>13</v>
      </c>
      <c r="C18" s="23"/>
      <c r="D18" s="20"/>
      <c r="E18" s="20"/>
      <c r="F18" s="23"/>
      <c r="G18" s="7">
        <f>+Sheet1!D17*1000000</f>
        <v>3000000</v>
      </c>
      <c r="H18" s="7">
        <f>+Sheet1!E17*1000000</f>
        <v>3000000</v>
      </c>
      <c r="J18" s="7">
        <f t="shared" si="21"/>
        <v>0</v>
      </c>
      <c r="K18" s="7">
        <f t="shared" si="13"/>
        <v>0</v>
      </c>
      <c r="M18" s="7"/>
      <c r="N18" s="7"/>
      <c r="O18" s="23"/>
      <c r="P18" s="7">
        <f t="shared" si="22"/>
        <v>0</v>
      </c>
      <c r="Q18" s="7">
        <f t="shared" si="16"/>
        <v>0</v>
      </c>
      <c r="S18" s="7">
        <f>+Sheet1!M17*1000000</f>
        <v>0</v>
      </c>
      <c r="T18" s="7">
        <f>+Sheet1!N17*1000000</f>
        <v>0</v>
      </c>
      <c r="V18" s="7">
        <f t="shared" si="23"/>
        <v>0</v>
      </c>
      <c r="W18" s="7">
        <f t="shared" si="17"/>
        <v>0</v>
      </c>
      <c r="X18" s="23"/>
      <c r="Y18" s="40">
        <f t="shared" si="24"/>
        <v>0</v>
      </c>
      <c r="Z18" s="40">
        <f t="shared" si="18"/>
        <v>0</v>
      </c>
      <c r="AB18" s="40">
        <v>0</v>
      </c>
      <c r="AC18" s="40">
        <v>0</v>
      </c>
      <c r="AE18" s="16">
        <f t="shared" si="19"/>
        <v>0</v>
      </c>
      <c r="AF18" s="16">
        <f t="shared" si="20"/>
        <v>0</v>
      </c>
    </row>
    <row r="19" spans="2:32" x14ac:dyDescent="0.25">
      <c r="B19" s="2" t="s">
        <v>14</v>
      </c>
      <c r="C19" s="23"/>
      <c r="D19" s="19">
        <v>95</v>
      </c>
      <c r="E19" s="19">
        <v>95</v>
      </c>
      <c r="F19" s="23"/>
      <c r="G19" s="4">
        <f>+Sheet1!D18*1000000</f>
        <v>3000000</v>
      </c>
      <c r="H19" s="4">
        <f>+Sheet1!E18*1000000</f>
        <v>3000000</v>
      </c>
      <c r="J19" s="4">
        <f t="shared" si="21"/>
        <v>513513.51351351349</v>
      </c>
      <c r="K19" s="4">
        <f t="shared" si="13"/>
        <v>513513.51351351349</v>
      </c>
      <c r="M19" s="4">
        <f t="shared" si="14"/>
        <v>3513513.5135135134</v>
      </c>
      <c r="N19" s="4">
        <f t="shared" si="15"/>
        <v>3513513.5135135134</v>
      </c>
      <c r="O19" s="23"/>
      <c r="P19" s="4">
        <f t="shared" si="22"/>
        <v>1198198.1981981981</v>
      </c>
      <c r="Q19" s="4">
        <f t="shared" si="16"/>
        <v>1198198.1981981981</v>
      </c>
      <c r="S19" s="4">
        <f>+Sheet1!M18*1000000</f>
        <v>1750000</v>
      </c>
      <c r="T19" s="4">
        <f>+Sheet1!N18*1000000</f>
        <v>1750000</v>
      </c>
      <c r="V19" s="4">
        <f t="shared" si="23"/>
        <v>2948198.1981981983</v>
      </c>
      <c r="W19" s="4">
        <f t="shared" si="17"/>
        <v>2948198.1981981983</v>
      </c>
      <c r="X19" s="23"/>
      <c r="Y19" s="39">
        <f t="shared" si="24"/>
        <v>565315.31531531503</v>
      </c>
      <c r="Z19" s="39">
        <f t="shared" si="18"/>
        <v>565315.31531531503</v>
      </c>
      <c r="AB19" s="39">
        <v>600000</v>
      </c>
      <c r="AC19" s="39">
        <v>600000</v>
      </c>
      <c r="AE19" s="15">
        <f t="shared" si="19"/>
        <v>2.8037383177570093E-2</v>
      </c>
      <c r="AF19" s="15">
        <f t="shared" si="20"/>
        <v>2.8037383177570093E-2</v>
      </c>
    </row>
    <row r="20" spans="2:32" x14ac:dyDescent="0.25">
      <c r="B20" s="2" t="s">
        <v>15</v>
      </c>
      <c r="C20" s="23"/>
      <c r="D20" s="19">
        <v>95</v>
      </c>
      <c r="E20" s="19">
        <v>95</v>
      </c>
      <c r="F20" s="23"/>
      <c r="G20" s="4">
        <f>+Sheet1!D19*1000000</f>
        <v>3000000</v>
      </c>
      <c r="H20" s="4">
        <f>+Sheet1!E19*1000000</f>
        <v>3000000</v>
      </c>
      <c r="J20" s="4">
        <f t="shared" si="21"/>
        <v>513513.51351351349</v>
      </c>
      <c r="K20" s="4">
        <f t="shared" si="13"/>
        <v>513513.51351351349</v>
      </c>
      <c r="M20" s="4">
        <f t="shared" si="14"/>
        <v>3513513.5135135134</v>
      </c>
      <c r="N20" s="4">
        <f t="shared" si="15"/>
        <v>3513513.5135135134</v>
      </c>
      <c r="O20" s="23"/>
      <c r="P20" s="4">
        <f t="shared" si="22"/>
        <v>1198198.1981981981</v>
      </c>
      <c r="Q20" s="4">
        <f t="shared" si="16"/>
        <v>1198198.1981981981</v>
      </c>
      <c r="S20" s="4">
        <f>+Sheet1!M19*1000000</f>
        <v>1750000</v>
      </c>
      <c r="T20" s="4">
        <f>+Sheet1!N19*1000000</f>
        <v>1750000</v>
      </c>
      <c r="V20" s="4">
        <f t="shared" si="23"/>
        <v>2948198.1981981983</v>
      </c>
      <c r="W20" s="4">
        <f t="shared" si="17"/>
        <v>2948198.1981981983</v>
      </c>
      <c r="X20" s="23"/>
      <c r="Y20" s="39">
        <f t="shared" si="24"/>
        <v>565315.31531531503</v>
      </c>
      <c r="Z20" s="39">
        <f t="shared" si="18"/>
        <v>565315.31531531503</v>
      </c>
      <c r="AB20" s="39">
        <v>600000</v>
      </c>
      <c r="AC20" s="39">
        <v>600000</v>
      </c>
      <c r="AE20" s="15">
        <f t="shared" si="19"/>
        <v>2.8037383177570093E-2</v>
      </c>
      <c r="AF20" s="15">
        <f t="shared" si="20"/>
        <v>2.8037383177570093E-2</v>
      </c>
    </row>
    <row r="21" spans="2:32" x14ac:dyDescent="0.25">
      <c r="B21" s="2" t="s">
        <v>16</v>
      </c>
      <c r="C21" s="23"/>
      <c r="D21" s="19">
        <v>95</v>
      </c>
      <c r="E21" s="19">
        <v>95</v>
      </c>
      <c r="F21" s="23"/>
      <c r="G21" s="4">
        <f>+Sheet1!D20*1000000</f>
        <v>3000000</v>
      </c>
      <c r="H21" s="4">
        <f>+Sheet1!E20*1000000</f>
        <v>3000000</v>
      </c>
      <c r="J21" s="4">
        <f t="shared" si="21"/>
        <v>513513.51351351349</v>
      </c>
      <c r="K21" s="4">
        <f t="shared" si="13"/>
        <v>513513.51351351349</v>
      </c>
      <c r="M21" s="4">
        <f t="shared" si="14"/>
        <v>3513513.5135135134</v>
      </c>
      <c r="N21" s="4">
        <f t="shared" si="15"/>
        <v>3513513.5135135134</v>
      </c>
      <c r="O21" s="23"/>
      <c r="P21" s="4">
        <f t="shared" si="22"/>
        <v>1198198.1981981981</v>
      </c>
      <c r="Q21" s="4">
        <f t="shared" si="16"/>
        <v>1198198.1981981981</v>
      </c>
      <c r="S21" s="4">
        <f>+Sheet1!M20*1000000</f>
        <v>1750000</v>
      </c>
      <c r="T21" s="4">
        <f>+Sheet1!N20*1000000</f>
        <v>1750000</v>
      </c>
      <c r="V21" s="4">
        <f t="shared" si="23"/>
        <v>2948198.1981981983</v>
      </c>
      <c r="W21" s="4">
        <f t="shared" si="17"/>
        <v>2948198.1981981983</v>
      </c>
      <c r="X21" s="23"/>
      <c r="Y21" s="39">
        <f t="shared" si="24"/>
        <v>565315.31531531503</v>
      </c>
      <c r="Z21" s="39">
        <f t="shared" si="18"/>
        <v>565315.31531531503</v>
      </c>
      <c r="AB21" s="39">
        <v>600000</v>
      </c>
      <c r="AC21" s="39">
        <v>600000</v>
      </c>
      <c r="AE21" s="15">
        <f t="shared" si="19"/>
        <v>2.8037383177570093E-2</v>
      </c>
      <c r="AF21" s="15">
        <f t="shared" si="20"/>
        <v>2.8037383177570093E-2</v>
      </c>
    </row>
    <row r="22" spans="2:32" x14ac:dyDescent="0.25">
      <c r="B22" s="2" t="s">
        <v>17</v>
      </c>
      <c r="C22" s="23"/>
      <c r="D22" s="19">
        <v>75</v>
      </c>
      <c r="E22" s="19">
        <v>75</v>
      </c>
      <c r="F22" s="23"/>
      <c r="G22" s="4">
        <f>+Sheet1!D21*1000000</f>
        <v>2500000</v>
      </c>
      <c r="H22" s="4">
        <f>+Sheet1!E21*1000000</f>
        <v>2500000</v>
      </c>
      <c r="J22" s="4">
        <f t="shared" si="21"/>
        <v>405405.40540540538</v>
      </c>
      <c r="K22" s="4">
        <f t="shared" si="13"/>
        <v>405405.40540540538</v>
      </c>
      <c r="M22" s="4">
        <f t="shared" si="14"/>
        <v>2905405.4054054054</v>
      </c>
      <c r="N22" s="4">
        <f t="shared" si="15"/>
        <v>2905405.4054054054</v>
      </c>
      <c r="O22" s="23"/>
      <c r="P22" s="4">
        <f t="shared" si="22"/>
        <v>945945.94594594592</v>
      </c>
      <c r="Q22" s="4">
        <f t="shared" si="16"/>
        <v>945945.94594594592</v>
      </c>
      <c r="S22" s="4">
        <f>+Sheet1!M21*1000000</f>
        <v>1750000</v>
      </c>
      <c r="T22" s="4">
        <f>+Sheet1!N21*1000000</f>
        <v>1750000</v>
      </c>
      <c r="V22" s="4">
        <f t="shared" si="23"/>
        <v>2695945.945945946</v>
      </c>
      <c r="W22" s="4">
        <f t="shared" si="17"/>
        <v>2695945.945945946</v>
      </c>
      <c r="X22" s="23"/>
      <c r="Y22" s="39">
        <f t="shared" si="24"/>
        <v>209459.45945945941</v>
      </c>
      <c r="Z22" s="39">
        <f t="shared" si="18"/>
        <v>209459.45945945941</v>
      </c>
      <c r="AB22" s="39">
        <v>250000</v>
      </c>
      <c r="AC22" s="39">
        <v>250000</v>
      </c>
      <c r="AE22" s="15">
        <f t="shared" si="19"/>
        <v>1.1682242990654205E-2</v>
      </c>
      <c r="AF22" s="15">
        <f t="shared" si="20"/>
        <v>1.1682242990654205E-2</v>
      </c>
    </row>
    <row r="23" spans="2:32" x14ac:dyDescent="0.25">
      <c r="B23" s="2" t="s">
        <v>18</v>
      </c>
      <c r="C23" s="23"/>
      <c r="D23" s="19">
        <v>75</v>
      </c>
      <c r="E23" s="19">
        <v>75</v>
      </c>
      <c r="F23" s="23"/>
      <c r="G23" s="4">
        <f>+Sheet1!D22*1000000</f>
        <v>2500000</v>
      </c>
      <c r="H23" s="4">
        <f>+Sheet1!E22*1000000</f>
        <v>2500000</v>
      </c>
      <c r="J23" s="4">
        <f t="shared" si="21"/>
        <v>405405.40540540538</v>
      </c>
      <c r="K23" s="4">
        <f t="shared" si="13"/>
        <v>405405.40540540538</v>
      </c>
      <c r="M23" s="4">
        <f t="shared" si="14"/>
        <v>2905405.4054054054</v>
      </c>
      <c r="N23" s="4">
        <f t="shared" si="15"/>
        <v>2905405.4054054054</v>
      </c>
      <c r="O23" s="23"/>
      <c r="P23" s="4">
        <f t="shared" si="22"/>
        <v>945945.94594594592</v>
      </c>
      <c r="Q23" s="4">
        <f t="shared" si="16"/>
        <v>945945.94594594592</v>
      </c>
      <c r="S23" s="4">
        <f>+Sheet1!M22*1000000</f>
        <v>1750000</v>
      </c>
      <c r="T23" s="4">
        <f>+Sheet1!N22*1000000</f>
        <v>1750000</v>
      </c>
      <c r="V23" s="4">
        <f t="shared" si="23"/>
        <v>2695945.945945946</v>
      </c>
      <c r="W23" s="4">
        <f t="shared" si="17"/>
        <v>2695945.945945946</v>
      </c>
      <c r="X23" s="23"/>
      <c r="Y23" s="39">
        <f t="shared" si="24"/>
        <v>209459.45945945941</v>
      </c>
      <c r="Z23" s="39">
        <f t="shared" si="18"/>
        <v>209459.45945945941</v>
      </c>
      <c r="AB23" s="39">
        <v>250000</v>
      </c>
      <c r="AC23" s="39">
        <v>250000</v>
      </c>
      <c r="AE23" s="15">
        <f t="shared" si="19"/>
        <v>1.1682242990654205E-2</v>
      </c>
      <c r="AF23" s="15">
        <f t="shared" si="20"/>
        <v>1.1682242990654205E-2</v>
      </c>
    </row>
    <row r="24" spans="2:32" x14ac:dyDescent="0.25">
      <c r="C24" s="23"/>
      <c r="E24" s="22">
        <f>SUM(D16:E23)</f>
        <v>1110</v>
      </c>
      <c r="F24" s="23"/>
      <c r="H24" s="6">
        <f>SUM(G16:H23)</f>
        <v>45500000</v>
      </c>
      <c r="K24" s="6">
        <v>6000000</v>
      </c>
      <c r="N24" s="6">
        <f>SUM(M16:N23)</f>
        <v>45499999.999999985</v>
      </c>
      <c r="O24" s="23"/>
      <c r="Q24" s="6">
        <v>14000000</v>
      </c>
      <c r="T24" s="6">
        <f>SUM(S16:T23)</f>
        <v>21000000</v>
      </c>
      <c r="W24" s="6">
        <f>SUM(V16:W23)</f>
        <v>35000000</v>
      </c>
      <c r="X24" s="23"/>
      <c r="Z24" s="42">
        <f>SUM(Y16:Z23)</f>
        <v>10500000</v>
      </c>
      <c r="AC24" s="42">
        <f>SUM(AB16:AC23)</f>
        <v>11000000</v>
      </c>
      <c r="AF24" s="42">
        <f>SUM(AE16:AF23)</f>
        <v>0.51401869158878499</v>
      </c>
    </row>
    <row r="25" spans="2:32" x14ac:dyDescent="0.25">
      <c r="B25"/>
      <c r="D25"/>
      <c r="E25"/>
      <c r="G25" s="3"/>
      <c r="H25" s="3"/>
      <c r="J25" s="3"/>
      <c r="K25" s="3"/>
      <c r="M25" s="3"/>
      <c r="N25" s="3"/>
      <c r="P25" s="3"/>
      <c r="Q25" s="3"/>
      <c r="S25" s="3"/>
      <c r="T25" s="3"/>
      <c r="V25" s="3"/>
      <c r="W25" s="3"/>
      <c r="Y25" s="43"/>
      <c r="Z25" s="43"/>
      <c r="AB25" s="43"/>
      <c r="AC25" s="43"/>
      <c r="AE25" s="43"/>
      <c r="AF25" s="43"/>
    </row>
    <row r="26" spans="2:32" x14ac:dyDescent="0.25">
      <c r="B26"/>
      <c r="D26"/>
      <c r="E26"/>
      <c r="G26" s="3"/>
      <c r="H26" s="3"/>
      <c r="J26" s="3"/>
      <c r="K26" s="3"/>
      <c r="M26" s="3"/>
      <c r="N26" s="3"/>
      <c r="P26" s="3"/>
      <c r="Q26" s="3"/>
      <c r="S26" s="3"/>
      <c r="T26" s="3"/>
      <c r="V26" s="3"/>
      <c r="W26" s="3"/>
      <c r="Y26" s="43"/>
      <c r="Z26" s="43"/>
      <c r="AB26" s="43"/>
      <c r="AC26" s="43">
        <f>+AC24+AC12</f>
        <v>21400000</v>
      </c>
      <c r="AE26" s="43"/>
      <c r="AF26" s="43"/>
    </row>
    <row r="27" spans="2:32" x14ac:dyDescent="0.25">
      <c r="D27" s="191" t="s">
        <v>26</v>
      </c>
      <c r="E27" s="191"/>
      <c r="F27" s="191"/>
      <c r="G27" s="191"/>
      <c r="H27" s="191"/>
      <c r="I27" s="191"/>
      <c r="J27" s="191"/>
      <c r="K27" s="191"/>
      <c r="L27" s="191"/>
      <c r="M27" s="191"/>
      <c r="N27" s="191"/>
      <c r="O27" s="191"/>
      <c r="P27" s="191"/>
      <c r="Q27" s="191"/>
      <c r="R27" s="191"/>
      <c r="S27" s="191"/>
      <c r="T27" s="191"/>
      <c r="U27" s="191"/>
      <c r="V27" s="191"/>
      <c r="W27" s="191"/>
      <c r="X27" s="191"/>
      <c r="Y27" s="191"/>
      <c r="Z27" s="191"/>
      <c r="AB27"/>
      <c r="AC27"/>
      <c r="AE27"/>
      <c r="AF27"/>
    </row>
    <row r="28" spans="2:32" x14ac:dyDescent="0.25">
      <c r="D28" s="47" t="s">
        <v>27</v>
      </c>
    </row>
    <row r="29" spans="2:32" x14ac:dyDescent="0.25">
      <c r="D29" s="47" t="s">
        <v>28</v>
      </c>
    </row>
    <row r="30" spans="2:32" x14ac:dyDescent="0.25">
      <c r="D30" s="47" t="s">
        <v>29</v>
      </c>
    </row>
    <row r="31" spans="2:32" x14ac:dyDescent="0.25">
      <c r="D31" s="47" t="s">
        <v>30</v>
      </c>
    </row>
    <row r="32" spans="2:32" x14ac:dyDescent="0.25">
      <c r="D32" s="47"/>
    </row>
    <row r="33" spans="4:4" x14ac:dyDescent="0.25">
      <c r="D33" s="47"/>
    </row>
  </sheetData>
  <mergeCells count="41">
    <mergeCell ref="D27:Z27"/>
    <mergeCell ref="AB2:AC2"/>
    <mergeCell ref="AB3:AC3"/>
    <mergeCell ref="AB14:AC14"/>
    <mergeCell ref="AB15:AC15"/>
    <mergeCell ref="D14:E14"/>
    <mergeCell ref="D15:E15"/>
    <mergeCell ref="J15:K15"/>
    <mergeCell ref="M15:N15"/>
    <mergeCell ref="G3:H3"/>
    <mergeCell ref="D3:E3"/>
    <mergeCell ref="P3:Q3"/>
    <mergeCell ref="S3:T3"/>
    <mergeCell ref="V3:W3"/>
    <mergeCell ref="Y3:Z3"/>
    <mergeCell ref="J3:K3"/>
    <mergeCell ref="AE3:AF3"/>
    <mergeCell ref="AE14:AF14"/>
    <mergeCell ref="AE15:AF15"/>
    <mergeCell ref="G14:H14"/>
    <mergeCell ref="P14:Q14"/>
    <mergeCell ref="S14:T14"/>
    <mergeCell ref="V14:W14"/>
    <mergeCell ref="Y14:Z14"/>
    <mergeCell ref="J14:K14"/>
    <mergeCell ref="M14:N14"/>
    <mergeCell ref="G15:H15"/>
    <mergeCell ref="P15:Q15"/>
    <mergeCell ref="S15:T15"/>
    <mergeCell ref="V15:W15"/>
    <mergeCell ref="Y15:Z15"/>
    <mergeCell ref="M3:N3"/>
    <mergeCell ref="G2:H2"/>
    <mergeCell ref="D2:E2"/>
    <mergeCell ref="P2:Q2"/>
    <mergeCell ref="S2:T2"/>
    <mergeCell ref="AE2:AF2"/>
    <mergeCell ref="V2:W2"/>
    <mergeCell ref="Y2:Z2"/>
    <mergeCell ref="J2:K2"/>
    <mergeCell ref="M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DC6C-2E4B-4F40-B2D3-25BDFCBE8595}">
  <dimension ref="B2:AC33"/>
  <sheetViews>
    <sheetView showGridLines="0" showZeros="0" zoomScaleNormal="100" workbookViewId="0">
      <selection activeCell="N12" sqref="N12"/>
    </sheetView>
  </sheetViews>
  <sheetFormatPr defaultRowHeight="15" x14ac:dyDescent="0.25"/>
  <cols>
    <col min="1" max="1" width="2.5703125" customWidth="1"/>
    <col min="2" max="2" width="10.140625" style="1" customWidth="1"/>
    <col min="3" max="3" width="1.5703125" customWidth="1"/>
    <col min="4" max="4" width="9.28515625" style="21" customWidth="1"/>
    <col min="5" max="5" width="11.140625" style="21" customWidth="1"/>
    <col min="6" max="6" width="1.5703125" customWidth="1"/>
    <col min="7" max="7" width="11.140625" style="5" customWidth="1"/>
    <col min="8" max="8" width="12" style="5" customWidth="1"/>
    <col min="9" max="9" width="1.28515625" customWidth="1"/>
    <col min="10" max="10" width="10.85546875" style="5" customWidth="1"/>
    <col min="11" max="11" width="12" style="5" customWidth="1"/>
    <col min="12" max="12" width="1.140625" customWidth="1"/>
    <col min="13" max="13" width="11" style="5" customWidth="1"/>
    <col min="14" max="14" width="12" style="5" customWidth="1"/>
    <col min="15" max="15" width="1.5703125" customWidth="1"/>
    <col min="16" max="16" width="11.140625" style="5" customWidth="1"/>
    <col min="17" max="17" width="12" style="5" customWidth="1"/>
    <col min="18" max="18" width="1.42578125" customWidth="1"/>
    <col min="19" max="19" width="11" style="5" customWidth="1"/>
    <col min="20" max="20" width="12" style="5" customWidth="1"/>
    <col min="21" max="21" width="1.42578125" customWidth="1"/>
    <col min="22" max="22" width="11.140625" style="5" customWidth="1"/>
    <col min="23" max="23" width="12" style="5" customWidth="1"/>
    <col min="24" max="24" width="1.5703125" customWidth="1"/>
    <col min="25" max="25" width="12.28515625" style="41" customWidth="1"/>
    <col min="26" max="26" width="12.85546875" style="41" customWidth="1"/>
    <col min="27" max="27" width="1.85546875" customWidth="1"/>
    <col min="28" max="28" width="12.28515625" style="41" customWidth="1"/>
    <col min="29" max="29" width="13.140625" style="41" customWidth="1"/>
  </cols>
  <sheetData>
    <row r="2" spans="2:29" x14ac:dyDescent="0.25">
      <c r="C2" s="23"/>
      <c r="D2" s="136" t="s">
        <v>19</v>
      </c>
      <c r="E2" s="136"/>
      <c r="F2" s="23"/>
      <c r="G2" s="187"/>
      <c r="H2" s="187"/>
      <c r="I2" s="25"/>
      <c r="J2" s="188" t="s">
        <v>20</v>
      </c>
      <c r="K2" s="189"/>
      <c r="L2" s="25"/>
      <c r="M2" s="187" t="s">
        <v>0</v>
      </c>
      <c r="N2" s="187"/>
      <c r="O2" s="23"/>
      <c r="P2" s="188" t="s">
        <v>20</v>
      </c>
      <c r="Q2" s="189"/>
      <c r="R2" s="25"/>
      <c r="S2" s="187"/>
      <c r="T2" s="187"/>
      <c r="U2" s="25"/>
      <c r="V2" s="187" t="s">
        <v>1</v>
      </c>
      <c r="W2" s="187"/>
      <c r="X2" s="23"/>
      <c r="Y2" s="190" t="s">
        <v>21</v>
      </c>
      <c r="Z2" s="190"/>
      <c r="AB2" s="190" t="s">
        <v>22</v>
      </c>
      <c r="AC2" s="190"/>
    </row>
    <row r="3" spans="2:29" x14ac:dyDescent="0.25">
      <c r="C3" s="23"/>
      <c r="D3" s="136" t="s">
        <v>6</v>
      </c>
      <c r="E3" s="136"/>
      <c r="F3" s="23"/>
      <c r="G3" s="187" t="s">
        <v>5</v>
      </c>
      <c r="H3" s="187"/>
      <c r="I3" s="25"/>
      <c r="J3" s="188" t="s">
        <v>23</v>
      </c>
      <c r="K3" s="189"/>
      <c r="L3" s="25"/>
      <c r="M3" s="187" t="s">
        <v>5</v>
      </c>
      <c r="N3" s="187"/>
      <c r="O3" s="23"/>
      <c r="P3" s="188" t="s">
        <v>24</v>
      </c>
      <c r="Q3" s="189"/>
      <c r="R3" s="25"/>
      <c r="S3" s="187" t="s">
        <v>8</v>
      </c>
      <c r="T3" s="187"/>
      <c r="U3" s="25"/>
      <c r="V3" s="187" t="s">
        <v>9</v>
      </c>
      <c r="W3" s="187"/>
      <c r="X3" s="23"/>
      <c r="Y3" s="190" t="s">
        <v>10</v>
      </c>
      <c r="Z3" s="190"/>
      <c r="AB3" s="190" t="s">
        <v>10</v>
      </c>
      <c r="AC3" s="190"/>
    </row>
    <row r="4" spans="2:29" x14ac:dyDescent="0.25">
      <c r="B4" s="2" t="s">
        <v>11</v>
      </c>
      <c r="C4" s="23"/>
      <c r="D4" s="19">
        <v>25</v>
      </c>
      <c r="E4" s="19">
        <v>75</v>
      </c>
      <c r="F4" s="23"/>
      <c r="G4" s="4">
        <f>+Sheet1!D4*1000000</f>
        <v>2750000</v>
      </c>
      <c r="H4" s="4">
        <f>+Sheet1!E4*1000000</f>
        <v>2750000</v>
      </c>
      <c r="J4" s="4">
        <f t="shared" ref="J4:K11" si="0">+$K$12*D4/$E$12</f>
        <v>138248.84792626728</v>
      </c>
      <c r="K4" s="4">
        <f t="shared" si="0"/>
        <v>414746.54377880186</v>
      </c>
      <c r="M4" s="4">
        <f>+G4+J4</f>
        <v>2888248.8479262674</v>
      </c>
      <c r="N4" s="4">
        <f t="shared" ref="N4:N11" si="1">+H4+K4</f>
        <v>3164746.5437788018</v>
      </c>
      <c r="O4" s="23"/>
      <c r="P4" s="4">
        <f>+$Q$12*D4/$E$12</f>
        <v>322580.6451612903</v>
      </c>
      <c r="Q4" s="4">
        <f t="shared" ref="Q4:Q11" si="2">+$Q$12*E4/$E$12</f>
        <v>967741.93548387091</v>
      </c>
      <c r="S4" s="4">
        <f>+Sheet1!M4*1000000</f>
        <v>0</v>
      </c>
      <c r="T4" s="4">
        <f>+Sheet1!N4*1000000</f>
        <v>875000</v>
      </c>
      <c r="V4" s="4">
        <f>+P4+S4</f>
        <v>322580.6451612903</v>
      </c>
      <c r="W4" s="4">
        <f t="shared" ref="W4:W11" si="3">+Q4+T4</f>
        <v>1842741.935483871</v>
      </c>
      <c r="X4" s="23"/>
      <c r="Y4" s="39">
        <f>+M4-V4</f>
        <v>2565668.2027649772</v>
      </c>
      <c r="Z4" s="39">
        <f t="shared" ref="Z4:Z11" si="4">+N4-W4</f>
        <v>1322004.6082949308</v>
      </c>
      <c r="AB4" s="39">
        <v>2500000</v>
      </c>
      <c r="AC4" s="39">
        <v>750000</v>
      </c>
    </row>
    <row r="5" spans="2:29" x14ac:dyDescent="0.25">
      <c r="B5" s="2" t="s">
        <v>12</v>
      </c>
      <c r="C5" s="23"/>
      <c r="D5" s="19">
        <v>95</v>
      </c>
      <c r="E5" s="19">
        <v>95</v>
      </c>
      <c r="F5" s="23"/>
      <c r="G5" s="4">
        <f>+Sheet1!D5*1000000</f>
        <v>3000000</v>
      </c>
      <c r="H5" s="4">
        <f>+Sheet1!E5*1000000</f>
        <v>3000000</v>
      </c>
      <c r="J5" s="4">
        <f t="shared" si="0"/>
        <v>525345.62211981567</v>
      </c>
      <c r="K5" s="4">
        <f t="shared" si="0"/>
        <v>525345.62211981567</v>
      </c>
      <c r="M5" s="4">
        <f t="shared" ref="M5:M11" si="5">+G5+J5</f>
        <v>3525345.6221198156</v>
      </c>
      <c r="N5" s="4">
        <f t="shared" si="1"/>
        <v>3525345.6221198156</v>
      </c>
      <c r="O5" s="23"/>
      <c r="P5" s="4">
        <f t="shared" ref="P5:P11" si="6">+$Q$12*D5/$E$12</f>
        <v>1225806.4516129033</v>
      </c>
      <c r="Q5" s="4">
        <f t="shared" si="2"/>
        <v>1225806.4516129033</v>
      </c>
      <c r="S5" s="4">
        <f>+Sheet1!M5*1000000</f>
        <v>1750000</v>
      </c>
      <c r="T5" s="4">
        <f>+Sheet1!N5*1000000</f>
        <v>1750000</v>
      </c>
      <c r="V5" s="4">
        <f t="shared" ref="V5:V11" si="7">+P5+S5</f>
        <v>2975806.4516129033</v>
      </c>
      <c r="W5" s="4">
        <f t="shared" si="3"/>
        <v>2975806.4516129033</v>
      </c>
      <c r="X5" s="23"/>
      <c r="Y5" s="39">
        <f t="shared" ref="Y5:Y11" si="8">+M5-V5</f>
        <v>549539.17050691228</v>
      </c>
      <c r="Z5" s="39">
        <f t="shared" si="4"/>
        <v>549539.17050691228</v>
      </c>
      <c r="AB5" s="39">
        <v>350000</v>
      </c>
      <c r="AC5" s="39">
        <v>350000</v>
      </c>
    </row>
    <row r="6" spans="2:29" x14ac:dyDescent="0.25">
      <c r="B6" s="2" t="s">
        <v>13</v>
      </c>
      <c r="C6" s="23"/>
      <c r="D6" s="20"/>
      <c r="E6" s="20"/>
      <c r="F6" s="23"/>
      <c r="G6" s="7">
        <f>+Sheet1!D6*1000000</f>
        <v>3000000</v>
      </c>
      <c r="H6" s="7">
        <f>+Sheet1!E6*1000000</f>
        <v>3000000</v>
      </c>
      <c r="J6" s="7">
        <f t="shared" si="0"/>
        <v>0</v>
      </c>
      <c r="K6" s="7">
        <f t="shared" si="0"/>
        <v>0</v>
      </c>
      <c r="M6" s="7"/>
      <c r="N6" s="7"/>
      <c r="O6" s="23"/>
      <c r="P6" s="7">
        <f t="shared" si="6"/>
        <v>0</v>
      </c>
      <c r="Q6" s="7">
        <f t="shared" si="2"/>
        <v>0</v>
      </c>
      <c r="S6" s="7">
        <f>+Sheet1!M6*1000000</f>
        <v>0</v>
      </c>
      <c r="T6" s="7">
        <f>+Sheet1!N6*1000000</f>
        <v>0</v>
      </c>
      <c r="V6" s="7">
        <f t="shared" si="7"/>
        <v>0</v>
      </c>
      <c r="W6" s="7">
        <f t="shared" si="3"/>
        <v>0</v>
      </c>
      <c r="X6" s="23"/>
      <c r="Y6" s="40">
        <f t="shared" si="8"/>
        <v>0</v>
      </c>
      <c r="Z6" s="40">
        <f t="shared" si="4"/>
        <v>0</v>
      </c>
      <c r="AB6" s="40">
        <f>11000000*'Sheet1 (2)'!AE6</f>
        <v>0</v>
      </c>
      <c r="AC6" s="40">
        <f>11000000*'Sheet1 (2)'!AF6</f>
        <v>0</v>
      </c>
    </row>
    <row r="7" spans="2:29" x14ac:dyDescent="0.25">
      <c r="B7" s="2" t="s">
        <v>14</v>
      </c>
      <c r="C7" s="23"/>
      <c r="D7" s="19">
        <v>95</v>
      </c>
      <c r="E7" s="19">
        <v>95</v>
      </c>
      <c r="F7" s="23"/>
      <c r="G7" s="4">
        <f>+Sheet1!D7*1000000</f>
        <v>3000000</v>
      </c>
      <c r="H7" s="4">
        <f>+Sheet1!E7*1000000</f>
        <v>3000000</v>
      </c>
      <c r="J7" s="4">
        <f t="shared" si="0"/>
        <v>525345.62211981567</v>
      </c>
      <c r="K7" s="4">
        <f t="shared" si="0"/>
        <v>525345.62211981567</v>
      </c>
      <c r="M7" s="4">
        <f t="shared" si="5"/>
        <v>3525345.6221198156</v>
      </c>
      <c r="N7" s="4">
        <f t="shared" si="1"/>
        <v>3525345.6221198156</v>
      </c>
      <c r="O7" s="23"/>
      <c r="P7" s="4">
        <f t="shared" si="6"/>
        <v>1225806.4516129033</v>
      </c>
      <c r="Q7" s="4">
        <f t="shared" si="2"/>
        <v>1225806.4516129033</v>
      </c>
      <c r="S7" s="4">
        <f>+Sheet1!M7*1000000</f>
        <v>1750000</v>
      </c>
      <c r="T7" s="4">
        <f>+Sheet1!N7*1000000</f>
        <v>1750000</v>
      </c>
      <c r="V7" s="4">
        <f t="shared" si="7"/>
        <v>2975806.4516129033</v>
      </c>
      <c r="W7" s="4">
        <f t="shared" si="3"/>
        <v>2975806.4516129033</v>
      </c>
      <c r="X7" s="23"/>
      <c r="Y7" s="39">
        <f t="shared" si="8"/>
        <v>549539.17050691228</v>
      </c>
      <c r="Z7" s="39">
        <f t="shared" si="4"/>
        <v>549539.17050691228</v>
      </c>
      <c r="AB7" s="39">
        <v>350000</v>
      </c>
      <c r="AC7" s="39">
        <v>350000</v>
      </c>
    </row>
    <row r="8" spans="2:29" x14ac:dyDescent="0.25">
      <c r="B8" s="2" t="s">
        <v>15</v>
      </c>
      <c r="C8" s="23"/>
      <c r="D8" s="19">
        <v>95</v>
      </c>
      <c r="E8" s="19">
        <v>95</v>
      </c>
      <c r="F8" s="23"/>
      <c r="G8" s="4">
        <f>+Sheet1!D8*1000000</f>
        <v>3000000</v>
      </c>
      <c r="H8" s="4">
        <f>+Sheet1!E8*1000000</f>
        <v>3000000</v>
      </c>
      <c r="J8" s="4">
        <f t="shared" si="0"/>
        <v>525345.62211981567</v>
      </c>
      <c r="K8" s="4">
        <f t="shared" si="0"/>
        <v>525345.62211981567</v>
      </c>
      <c r="M8" s="4">
        <f t="shared" si="5"/>
        <v>3525345.6221198156</v>
      </c>
      <c r="N8" s="4">
        <f t="shared" si="1"/>
        <v>3525345.6221198156</v>
      </c>
      <c r="O8" s="23"/>
      <c r="P8" s="4">
        <f t="shared" si="6"/>
        <v>1225806.4516129033</v>
      </c>
      <c r="Q8" s="4">
        <f t="shared" si="2"/>
        <v>1225806.4516129033</v>
      </c>
      <c r="S8" s="4">
        <f>+Sheet1!M8*1000000</f>
        <v>1750000</v>
      </c>
      <c r="T8" s="4">
        <f>+Sheet1!N8*1000000</f>
        <v>1750000</v>
      </c>
      <c r="V8" s="4">
        <f t="shared" si="7"/>
        <v>2975806.4516129033</v>
      </c>
      <c r="W8" s="4">
        <f t="shared" si="3"/>
        <v>2975806.4516129033</v>
      </c>
      <c r="X8" s="23"/>
      <c r="Y8" s="39">
        <f t="shared" si="8"/>
        <v>549539.17050691228</v>
      </c>
      <c r="Z8" s="39">
        <f t="shared" si="4"/>
        <v>549539.17050691228</v>
      </c>
      <c r="AB8" s="39">
        <v>350000</v>
      </c>
      <c r="AC8" s="39">
        <v>350000</v>
      </c>
    </row>
    <row r="9" spans="2:29" x14ac:dyDescent="0.25">
      <c r="B9" s="2" t="s">
        <v>16</v>
      </c>
      <c r="C9" s="23"/>
      <c r="D9" s="19">
        <v>95</v>
      </c>
      <c r="E9" s="19">
        <v>95</v>
      </c>
      <c r="F9" s="23"/>
      <c r="G9" s="4">
        <f>+Sheet1!D9*1000000</f>
        <v>3000000</v>
      </c>
      <c r="H9" s="4">
        <f>+Sheet1!E9*1000000</f>
        <v>3000000</v>
      </c>
      <c r="J9" s="4">
        <f t="shared" si="0"/>
        <v>525345.62211981567</v>
      </c>
      <c r="K9" s="4">
        <f t="shared" si="0"/>
        <v>525345.62211981567</v>
      </c>
      <c r="M9" s="4">
        <f t="shared" si="5"/>
        <v>3525345.6221198156</v>
      </c>
      <c r="N9" s="4">
        <f t="shared" si="1"/>
        <v>3525345.6221198156</v>
      </c>
      <c r="O9" s="23"/>
      <c r="P9" s="4">
        <f t="shared" si="6"/>
        <v>1225806.4516129033</v>
      </c>
      <c r="Q9" s="4">
        <f t="shared" si="2"/>
        <v>1225806.4516129033</v>
      </c>
      <c r="S9" s="4">
        <f>+Sheet1!M9*1000000</f>
        <v>1750000</v>
      </c>
      <c r="T9" s="4">
        <f>+Sheet1!N9*1000000</f>
        <v>1750000</v>
      </c>
      <c r="V9" s="4">
        <f t="shared" si="7"/>
        <v>2975806.4516129033</v>
      </c>
      <c r="W9" s="4">
        <f t="shared" si="3"/>
        <v>2975806.4516129033</v>
      </c>
      <c r="X9" s="23"/>
      <c r="Y9" s="39">
        <f t="shared" si="8"/>
        <v>549539.17050691228</v>
      </c>
      <c r="Z9" s="39">
        <f t="shared" si="4"/>
        <v>549539.17050691228</v>
      </c>
      <c r="AB9" s="39">
        <v>350000</v>
      </c>
      <c r="AC9" s="39">
        <v>350000</v>
      </c>
    </row>
    <row r="10" spans="2:29" x14ac:dyDescent="0.25">
      <c r="B10" s="2" t="s">
        <v>17</v>
      </c>
      <c r="C10" s="23"/>
      <c r="D10" s="19">
        <v>75</v>
      </c>
      <c r="E10" s="19">
        <v>75</v>
      </c>
      <c r="F10" s="23"/>
      <c r="G10" s="4">
        <f>+Sheet1!D10*1000000</f>
        <v>2500000</v>
      </c>
      <c r="H10" s="4">
        <f>+Sheet1!E10*1000000</f>
        <v>2500000</v>
      </c>
      <c r="J10" s="4">
        <f t="shared" si="0"/>
        <v>414746.54377880186</v>
      </c>
      <c r="K10" s="4">
        <f t="shared" si="0"/>
        <v>414746.54377880186</v>
      </c>
      <c r="M10" s="4">
        <f t="shared" si="5"/>
        <v>2914746.5437788018</v>
      </c>
      <c r="N10" s="4">
        <f t="shared" si="1"/>
        <v>2914746.5437788018</v>
      </c>
      <c r="O10" s="23"/>
      <c r="P10" s="4">
        <f t="shared" si="6"/>
        <v>967741.93548387091</v>
      </c>
      <c r="Q10" s="4">
        <f t="shared" si="2"/>
        <v>967741.93548387091</v>
      </c>
      <c r="S10" s="4">
        <f>+Sheet1!M10*1000000</f>
        <v>1750000</v>
      </c>
      <c r="T10" s="4">
        <f>+Sheet1!N10*1000000</f>
        <v>1750000</v>
      </c>
      <c r="V10" s="4">
        <f t="shared" si="7"/>
        <v>2717741.935483871</v>
      </c>
      <c r="W10" s="4">
        <f t="shared" si="3"/>
        <v>2717741.935483871</v>
      </c>
      <c r="X10" s="23"/>
      <c r="Y10" s="39">
        <f t="shared" si="8"/>
        <v>197004.60829493077</v>
      </c>
      <c r="Z10" s="39">
        <f t="shared" si="4"/>
        <v>197004.60829493077</v>
      </c>
      <c r="AB10" s="39">
        <v>200000</v>
      </c>
      <c r="AC10" s="39">
        <v>200000</v>
      </c>
    </row>
    <row r="11" spans="2:29" x14ac:dyDescent="0.25">
      <c r="B11" s="2" t="s">
        <v>18</v>
      </c>
      <c r="C11" s="23"/>
      <c r="D11" s="19"/>
      <c r="E11" s="19">
        <v>75</v>
      </c>
      <c r="F11" s="23"/>
      <c r="G11" s="4">
        <f>+Sheet1!D11*1000000</f>
        <v>0</v>
      </c>
      <c r="H11" s="4">
        <f>+Sheet1!E11*1000000</f>
        <v>2500000</v>
      </c>
      <c r="J11" s="4">
        <f t="shared" si="0"/>
        <v>0</v>
      </c>
      <c r="K11" s="4">
        <f t="shared" si="0"/>
        <v>414746.54377880186</v>
      </c>
      <c r="M11" s="4">
        <f t="shared" si="5"/>
        <v>0</v>
      </c>
      <c r="N11" s="4">
        <f t="shared" si="1"/>
        <v>2914746.5437788018</v>
      </c>
      <c r="O11" s="23"/>
      <c r="P11" s="4">
        <f t="shared" si="6"/>
        <v>0</v>
      </c>
      <c r="Q11" s="4">
        <f t="shared" si="2"/>
        <v>967741.93548387091</v>
      </c>
      <c r="S11" s="4">
        <f>+Sheet1!M11*1000000</f>
        <v>0</v>
      </c>
      <c r="T11" s="4">
        <f>+Sheet1!N11*1000000</f>
        <v>875000</v>
      </c>
      <c r="V11" s="4">
        <f t="shared" si="7"/>
        <v>0</v>
      </c>
      <c r="W11" s="4">
        <f t="shared" si="3"/>
        <v>1842741.935483871</v>
      </c>
      <c r="X11" s="23"/>
      <c r="Y11" s="39">
        <f t="shared" si="8"/>
        <v>0</v>
      </c>
      <c r="Z11" s="39">
        <f t="shared" si="4"/>
        <v>1072004.6082949308</v>
      </c>
      <c r="AB11" s="39">
        <f>11000000*'Sheet1 (2)'!AE11</f>
        <v>0</v>
      </c>
      <c r="AC11" s="39">
        <v>550000</v>
      </c>
    </row>
    <row r="12" spans="2:29" x14ac:dyDescent="0.25">
      <c r="C12" s="23"/>
      <c r="E12" s="22">
        <f>SUM(D4:E11)</f>
        <v>1085</v>
      </c>
      <c r="F12" s="23"/>
      <c r="H12" s="6">
        <f>SUM(G4:H11)</f>
        <v>43000000</v>
      </c>
      <c r="K12" s="6">
        <f>+G6+H6</f>
        <v>6000000</v>
      </c>
      <c r="N12" s="6">
        <f>SUM(M4:N11)</f>
        <v>42999999.999999993</v>
      </c>
      <c r="O12" s="23"/>
      <c r="Q12" s="6">
        <v>14000000</v>
      </c>
      <c r="T12" s="6">
        <f>SUM(S4:T11)</f>
        <v>19250000</v>
      </c>
      <c r="W12" s="6">
        <f>SUM(V4:W11)</f>
        <v>33250000.000000007</v>
      </c>
      <c r="X12" s="23"/>
      <c r="Z12" s="42">
        <f>SUM(Y4:Z11)</f>
        <v>9749999.9999999981</v>
      </c>
      <c r="AC12" s="42">
        <f>SUM(AB4:AC11)</f>
        <v>7000000</v>
      </c>
    </row>
    <row r="13" spans="2:29" x14ac:dyDescent="0.25">
      <c r="B13"/>
      <c r="D13"/>
      <c r="E13"/>
      <c r="G13"/>
      <c r="H13"/>
      <c r="J13"/>
      <c r="K13"/>
      <c r="M13"/>
      <c r="N13"/>
      <c r="P13"/>
      <c r="Q13"/>
      <c r="S13"/>
      <c r="T13"/>
      <c r="V13"/>
      <c r="W13"/>
      <c r="Y13"/>
      <c r="Z13"/>
      <c r="AB13"/>
      <c r="AC13"/>
    </row>
    <row r="14" spans="2:29" x14ac:dyDescent="0.25">
      <c r="C14" s="23"/>
      <c r="D14" s="136" t="s">
        <v>25</v>
      </c>
      <c r="E14" s="136"/>
      <c r="F14" s="23"/>
      <c r="G14" s="187"/>
      <c r="H14" s="187"/>
      <c r="I14" s="25"/>
      <c r="J14" s="188" t="s">
        <v>20</v>
      </c>
      <c r="K14" s="189"/>
      <c r="L14" s="25"/>
      <c r="M14" s="187" t="s">
        <v>0</v>
      </c>
      <c r="N14" s="187"/>
      <c r="O14" s="23"/>
      <c r="P14" s="188" t="s">
        <v>20</v>
      </c>
      <c r="Q14" s="189"/>
      <c r="R14" s="25"/>
      <c r="S14" s="187"/>
      <c r="T14" s="187"/>
      <c r="U14" s="25"/>
      <c r="V14" s="187" t="s">
        <v>1</v>
      </c>
      <c r="W14" s="187"/>
      <c r="X14" s="23"/>
      <c r="Y14" s="190" t="s">
        <v>21</v>
      </c>
      <c r="Z14" s="190"/>
      <c r="AB14" s="190" t="s">
        <v>22</v>
      </c>
      <c r="AC14" s="190"/>
    </row>
    <row r="15" spans="2:29" x14ac:dyDescent="0.25">
      <c r="C15" s="23"/>
      <c r="D15" s="136" t="s">
        <v>6</v>
      </c>
      <c r="E15" s="136"/>
      <c r="F15" s="23"/>
      <c r="G15" s="187" t="s">
        <v>5</v>
      </c>
      <c r="H15" s="187"/>
      <c r="I15" s="25"/>
      <c r="J15" s="188" t="s">
        <v>23</v>
      </c>
      <c r="K15" s="189"/>
      <c r="L15" s="25"/>
      <c r="M15" s="187" t="s">
        <v>5</v>
      </c>
      <c r="N15" s="187"/>
      <c r="O15" s="23"/>
      <c r="P15" s="188" t="s">
        <v>24</v>
      </c>
      <c r="Q15" s="189"/>
      <c r="R15" s="25"/>
      <c r="S15" s="187" t="s">
        <v>8</v>
      </c>
      <c r="T15" s="187"/>
      <c r="U15" s="25"/>
      <c r="V15" s="187" t="s">
        <v>9</v>
      </c>
      <c r="W15" s="187"/>
      <c r="X15" s="23"/>
      <c r="Y15" s="190" t="s">
        <v>10</v>
      </c>
      <c r="Z15" s="190"/>
      <c r="AB15" s="190" t="s">
        <v>10</v>
      </c>
      <c r="AC15" s="190"/>
    </row>
    <row r="16" spans="2:29" x14ac:dyDescent="0.25">
      <c r="B16" s="2" t="s">
        <v>11</v>
      </c>
      <c r="C16" s="23"/>
      <c r="D16" s="20"/>
      <c r="E16" s="20"/>
      <c r="F16" s="23"/>
      <c r="G16" s="7">
        <f>+Sheet1!D15*1000000</f>
        <v>2750000</v>
      </c>
      <c r="H16" s="7">
        <f>+Sheet1!E15*1000000</f>
        <v>2750000</v>
      </c>
      <c r="J16" s="7">
        <f>+$K$24*D16/$E$24</f>
        <v>0</v>
      </c>
      <c r="K16" s="7">
        <f t="shared" ref="K16:K23" si="9">+$K$24*E16/$E$24</f>
        <v>0</v>
      </c>
      <c r="M16" s="7"/>
      <c r="N16" s="7"/>
      <c r="O16" s="23"/>
      <c r="P16" s="7">
        <f>+$Q$24*D16/$E$24</f>
        <v>0</v>
      </c>
      <c r="Q16" s="7">
        <f t="shared" ref="Q16:Q23" si="10">+$Q$24*E16/$E$24</f>
        <v>0</v>
      </c>
      <c r="S16" s="7">
        <f>+Sheet1!M15*1000000</f>
        <v>0</v>
      </c>
      <c r="T16" s="7">
        <f>+Sheet1!N15*1000000</f>
        <v>0</v>
      </c>
      <c r="V16" s="7">
        <f>+P16+S16</f>
        <v>0</v>
      </c>
      <c r="W16" s="7">
        <f t="shared" ref="W16:W23" si="11">+Q16+T16</f>
        <v>0</v>
      </c>
      <c r="X16" s="23"/>
      <c r="Y16" s="40">
        <f>+M16-V16</f>
        <v>0</v>
      </c>
      <c r="Z16" s="40">
        <f t="shared" ref="Z16:Z23" si="12">+N16-W16</f>
        <v>0</v>
      </c>
      <c r="AB16" s="40"/>
      <c r="AC16" s="40"/>
    </row>
    <row r="17" spans="2:29" x14ac:dyDescent="0.25">
      <c r="B17" s="2" t="s">
        <v>12</v>
      </c>
      <c r="C17" s="23"/>
      <c r="D17" s="19">
        <v>95</v>
      </c>
      <c r="E17" s="19">
        <v>95</v>
      </c>
      <c r="F17" s="23"/>
      <c r="G17" s="4">
        <f>+Sheet1!D16*1000000</f>
        <v>3000000</v>
      </c>
      <c r="H17" s="4">
        <f>+Sheet1!E16*1000000</f>
        <v>3000000</v>
      </c>
      <c r="J17" s="4">
        <f t="shared" ref="J17:J23" si="13">+$K$24*D17/$E$24</f>
        <v>1030660.3773584906</v>
      </c>
      <c r="K17" s="4">
        <f t="shared" si="9"/>
        <v>1030660.3773584906</v>
      </c>
      <c r="M17" s="4">
        <f t="shared" ref="M17:N23" si="14">+G17+J17</f>
        <v>4030660.3773584906</v>
      </c>
      <c r="N17" s="4">
        <f t="shared" si="14"/>
        <v>4030660.3773584906</v>
      </c>
      <c r="O17" s="23"/>
      <c r="P17" s="4">
        <f t="shared" ref="P17:P23" si="15">+$Q$24*D17/$E$24</f>
        <v>2150943.3962264149</v>
      </c>
      <c r="Q17" s="4">
        <f t="shared" si="10"/>
        <v>2150943.3962264149</v>
      </c>
      <c r="S17" s="4">
        <f>+Sheet1!M16*1000000</f>
        <v>1750000</v>
      </c>
      <c r="T17" s="4">
        <f>+Sheet1!N16*1000000</f>
        <v>1750000</v>
      </c>
      <c r="V17" s="4">
        <f t="shared" ref="V17:V23" si="16">+P17+S17</f>
        <v>3900943.3962264149</v>
      </c>
      <c r="W17" s="4">
        <f t="shared" si="11"/>
        <v>3900943.3962264149</v>
      </c>
      <c r="X17" s="23"/>
      <c r="Y17" s="39">
        <f t="shared" ref="Y17:Y23" si="17">+M17-V17</f>
        <v>129716.98113207566</v>
      </c>
      <c r="Z17" s="39">
        <f t="shared" si="12"/>
        <v>129716.98113207566</v>
      </c>
      <c r="AB17" s="39">
        <v>350000</v>
      </c>
      <c r="AC17" s="39">
        <v>350000</v>
      </c>
    </row>
    <row r="18" spans="2:29" x14ac:dyDescent="0.25">
      <c r="B18" s="2" t="s">
        <v>13</v>
      </c>
      <c r="C18" s="23"/>
      <c r="D18" s="20"/>
      <c r="E18" s="20"/>
      <c r="F18" s="23"/>
      <c r="G18" s="7">
        <f>+Sheet1!D17*1000000</f>
        <v>3000000</v>
      </c>
      <c r="H18" s="7">
        <f>+Sheet1!E17*1000000</f>
        <v>3000000</v>
      </c>
      <c r="J18" s="7">
        <f t="shared" si="13"/>
        <v>0</v>
      </c>
      <c r="K18" s="7">
        <f t="shared" si="9"/>
        <v>0</v>
      </c>
      <c r="M18" s="7"/>
      <c r="N18" s="7"/>
      <c r="O18" s="23"/>
      <c r="P18" s="7">
        <f t="shared" si="15"/>
        <v>0</v>
      </c>
      <c r="Q18" s="7">
        <f t="shared" si="10"/>
        <v>0</v>
      </c>
      <c r="S18" s="7">
        <f>+Sheet1!M17*1000000</f>
        <v>0</v>
      </c>
      <c r="T18" s="7">
        <f>+Sheet1!N17*1000000</f>
        <v>0</v>
      </c>
      <c r="V18" s="7">
        <f t="shared" si="16"/>
        <v>0</v>
      </c>
      <c r="W18" s="7">
        <f t="shared" si="11"/>
        <v>0</v>
      </c>
      <c r="X18" s="23"/>
      <c r="Y18" s="40">
        <f t="shared" si="17"/>
        <v>0</v>
      </c>
      <c r="Z18" s="40">
        <f t="shared" si="12"/>
        <v>0</v>
      </c>
      <c r="AB18" s="40">
        <f>11000000*'Sheet1 (2)'!AE18</f>
        <v>0</v>
      </c>
      <c r="AC18" s="40">
        <f>11000000*'Sheet1 (2)'!AF18</f>
        <v>0</v>
      </c>
    </row>
    <row r="19" spans="2:29" x14ac:dyDescent="0.25">
      <c r="B19" s="2" t="s">
        <v>14</v>
      </c>
      <c r="C19" s="23"/>
      <c r="D19" s="19">
        <v>95</v>
      </c>
      <c r="E19" s="19">
        <v>95</v>
      </c>
      <c r="F19" s="23"/>
      <c r="G19" s="4">
        <f>+Sheet1!D18*1000000</f>
        <v>3000000</v>
      </c>
      <c r="H19" s="4">
        <f>+Sheet1!E18*1000000</f>
        <v>3000000</v>
      </c>
      <c r="J19" s="4">
        <f t="shared" si="13"/>
        <v>1030660.3773584906</v>
      </c>
      <c r="K19" s="4">
        <f t="shared" si="9"/>
        <v>1030660.3773584906</v>
      </c>
      <c r="M19" s="4">
        <f t="shared" si="14"/>
        <v>4030660.3773584906</v>
      </c>
      <c r="N19" s="4">
        <f t="shared" si="14"/>
        <v>4030660.3773584906</v>
      </c>
      <c r="O19" s="23"/>
      <c r="P19" s="4">
        <f t="shared" si="15"/>
        <v>2150943.3962264149</v>
      </c>
      <c r="Q19" s="4">
        <f t="shared" si="10"/>
        <v>2150943.3962264149</v>
      </c>
      <c r="S19" s="4">
        <f>+Sheet1!M18*1000000</f>
        <v>1750000</v>
      </c>
      <c r="T19" s="4">
        <f>+Sheet1!N18*1000000</f>
        <v>1750000</v>
      </c>
      <c r="V19" s="4">
        <f t="shared" si="16"/>
        <v>3900943.3962264149</v>
      </c>
      <c r="W19" s="4">
        <f t="shared" si="11"/>
        <v>3900943.3962264149</v>
      </c>
      <c r="X19" s="23"/>
      <c r="Y19" s="39">
        <f t="shared" si="17"/>
        <v>129716.98113207566</v>
      </c>
      <c r="Z19" s="39">
        <f t="shared" si="12"/>
        <v>129716.98113207566</v>
      </c>
      <c r="AB19" s="39">
        <v>350000</v>
      </c>
      <c r="AC19" s="39">
        <v>350000</v>
      </c>
    </row>
    <row r="20" spans="2:29" x14ac:dyDescent="0.25">
      <c r="B20" s="2" t="s">
        <v>15</v>
      </c>
      <c r="C20" s="23"/>
      <c r="D20" s="19">
        <v>95</v>
      </c>
      <c r="E20" s="19">
        <v>95</v>
      </c>
      <c r="F20" s="23"/>
      <c r="G20" s="4">
        <f>+Sheet1!D19*1000000</f>
        <v>3000000</v>
      </c>
      <c r="H20" s="4">
        <f>+Sheet1!E19*1000000</f>
        <v>3000000</v>
      </c>
      <c r="J20" s="4">
        <f t="shared" si="13"/>
        <v>1030660.3773584906</v>
      </c>
      <c r="K20" s="4">
        <f t="shared" si="9"/>
        <v>1030660.3773584906</v>
      </c>
      <c r="M20" s="4">
        <f t="shared" si="14"/>
        <v>4030660.3773584906</v>
      </c>
      <c r="N20" s="4">
        <f t="shared" si="14"/>
        <v>4030660.3773584906</v>
      </c>
      <c r="O20" s="23"/>
      <c r="P20" s="4">
        <f t="shared" si="15"/>
        <v>2150943.3962264149</v>
      </c>
      <c r="Q20" s="4">
        <f t="shared" si="10"/>
        <v>2150943.3962264149</v>
      </c>
      <c r="S20" s="4">
        <f>+Sheet1!M19*1000000</f>
        <v>1750000</v>
      </c>
      <c r="T20" s="4">
        <f>+Sheet1!N19*1000000</f>
        <v>1750000</v>
      </c>
      <c r="V20" s="4">
        <f t="shared" si="16"/>
        <v>3900943.3962264149</v>
      </c>
      <c r="W20" s="4">
        <f t="shared" si="11"/>
        <v>3900943.3962264149</v>
      </c>
      <c r="X20" s="23"/>
      <c r="Y20" s="39">
        <f t="shared" si="17"/>
        <v>129716.98113207566</v>
      </c>
      <c r="Z20" s="39">
        <f t="shared" si="12"/>
        <v>129716.98113207566</v>
      </c>
      <c r="AB20" s="39">
        <v>350000</v>
      </c>
      <c r="AC20" s="39">
        <v>350000</v>
      </c>
    </row>
    <row r="21" spans="2:29" x14ac:dyDescent="0.25">
      <c r="B21" s="2" t="s">
        <v>16</v>
      </c>
      <c r="C21" s="23"/>
      <c r="D21" s="19">
        <v>95</v>
      </c>
      <c r="E21" s="19">
        <v>95</v>
      </c>
      <c r="F21" s="23"/>
      <c r="G21" s="4">
        <f>+Sheet1!D20*1000000</f>
        <v>3000000</v>
      </c>
      <c r="H21" s="4">
        <f>+Sheet1!E20*1000000</f>
        <v>3000000</v>
      </c>
      <c r="J21" s="4">
        <f t="shared" si="13"/>
        <v>1030660.3773584906</v>
      </c>
      <c r="K21" s="4">
        <f t="shared" si="9"/>
        <v>1030660.3773584906</v>
      </c>
      <c r="M21" s="4">
        <f t="shared" si="14"/>
        <v>4030660.3773584906</v>
      </c>
      <c r="N21" s="4">
        <f t="shared" si="14"/>
        <v>4030660.3773584906</v>
      </c>
      <c r="O21" s="23"/>
      <c r="P21" s="4">
        <f t="shared" si="15"/>
        <v>2150943.3962264149</v>
      </c>
      <c r="Q21" s="4">
        <f t="shared" si="10"/>
        <v>2150943.3962264149</v>
      </c>
      <c r="S21" s="4">
        <f>+Sheet1!M20*1000000</f>
        <v>1750000</v>
      </c>
      <c r="T21" s="4">
        <f>+Sheet1!N20*1000000</f>
        <v>1750000</v>
      </c>
      <c r="V21" s="4">
        <f t="shared" si="16"/>
        <v>3900943.3962264149</v>
      </c>
      <c r="W21" s="4">
        <f t="shared" si="11"/>
        <v>3900943.3962264149</v>
      </c>
      <c r="X21" s="23"/>
      <c r="Y21" s="39">
        <f t="shared" si="17"/>
        <v>129716.98113207566</v>
      </c>
      <c r="Z21" s="39">
        <f t="shared" si="12"/>
        <v>129716.98113207566</v>
      </c>
      <c r="AB21" s="39">
        <v>350000</v>
      </c>
      <c r="AC21" s="39">
        <v>350000</v>
      </c>
    </row>
    <row r="22" spans="2:29" x14ac:dyDescent="0.25">
      <c r="B22" s="2" t="s">
        <v>17</v>
      </c>
      <c r="C22" s="23"/>
      <c r="D22" s="19">
        <v>75</v>
      </c>
      <c r="E22" s="19">
        <v>75</v>
      </c>
      <c r="F22" s="23"/>
      <c r="G22" s="4">
        <f>+Sheet1!D21*1000000</f>
        <v>2500000</v>
      </c>
      <c r="H22" s="4">
        <f>+Sheet1!E21*1000000</f>
        <v>2500000</v>
      </c>
      <c r="J22" s="4">
        <f t="shared" si="13"/>
        <v>813679.24528301891</v>
      </c>
      <c r="K22" s="4">
        <f t="shared" si="9"/>
        <v>813679.24528301891</v>
      </c>
      <c r="M22" s="4">
        <f t="shared" si="14"/>
        <v>3313679.2452830188</v>
      </c>
      <c r="N22" s="4">
        <f t="shared" si="14"/>
        <v>3313679.2452830188</v>
      </c>
      <c r="O22" s="23"/>
      <c r="P22" s="4">
        <f t="shared" si="15"/>
        <v>1698113.2075471699</v>
      </c>
      <c r="Q22" s="4">
        <f t="shared" si="10"/>
        <v>1698113.2075471699</v>
      </c>
      <c r="S22" s="4">
        <f>+Sheet1!M21*1000000</f>
        <v>1750000</v>
      </c>
      <c r="T22" s="4">
        <f>+Sheet1!N21*1000000</f>
        <v>1750000</v>
      </c>
      <c r="V22" s="4">
        <f t="shared" si="16"/>
        <v>3448113.2075471701</v>
      </c>
      <c r="W22" s="4">
        <f t="shared" si="11"/>
        <v>3448113.2075471701</v>
      </c>
      <c r="X22" s="23"/>
      <c r="Y22" s="39">
        <f t="shared" si="17"/>
        <v>-134433.96226415131</v>
      </c>
      <c r="Z22" s="39">
        <f t="shared" si="12"/>
        <v>-134433.96226415131</v>
      </c>
      <c r="AB22" s="39">
        <v>200000</v>
      </c>
      <c r="AC22" s="39">
        <v>200000</v>
      </c>
    </row>
    <row r="23" spans="2:29" x14ac:dyDescent="0.25">
      <c r="B23" s="2" t="s">
        <v>18</v>
      </c>
      <c r="C23" s="23"/>
      <c r="D23" s="19">
        <v>75</v>
      </c>
      <c r="E23" s="19">
        <v>75</v>
      </c>
      <c r="F23" s="23"/>
      <c r="G23" s="4">
        <f>+Sheet1!D22*1000000</f>
        <v>2500000</v>
      </c>
      <c r="H23" s="4">
        <f>+Sheet1!E22*1000000</f>
        <v>2500000</v>
      </c>
      <c r="J23" s="4">
        <f t="shared" si="13"/>
        <v>813679.24528301891</v>
      </c>
      <c r="K23" s="4">
        <f t="shared" si="9"/>
        <v>813679.24528301891</v>
      </c>
      <c r="M23" s="4">
        <f t="shared" si="14"/>
        <v>3313679.2452830188</v>
      </c>
      <c r="N23" s="4">
        <f t="shared" si="14"/>
        <v>3313679.2452830188</v>
      </c>
      <c r="O23" s="23"/>
      <c r="P23" s="4">
        <f t="shared" si="15"/>
        <v>1698113.2075471699</v>
      </c>
      <c r="Q23" s="4">
        <f t="shared" si="10"/>
        <v>1698113.2075471699</v>
      </c>
      <c r="S23" s="4">
        <f>+Sheet1!M22*1000000</f>
        <v>1750000</v>
      </c>
      <c r="T23" s="4">
        <f>+Sheet1!N22*1000000</f>
        <v>1750000</v>
      </c>
      <c r="V23" s="4">
        <f t="shared" si="16"/>
        <v>3448113.2075471701</v>
      </c>
      <c r="W23" s="4">
        <f t="shared" si="11"/>
        <v>3448113.2075471701</v>
      </c>
      <c r="X23" s="23"/>
      <c r="Y23" s="39">
        <f t="shared" si="17"/>
        <v>-134433.96226415131</v>
      </c>
      <c r="Z23" s="39">
        <f t="shared" si="12"/>
        <v>-134433.96226415131</v>
      </c>
      <c r="AB23" s="39">
        <v>200000</v>
      </c>
      <c r="AC23" s="39">
        <v>200000</v>
      </c>
    </row>
    <row r="24" spans="2:29" x14ac:dyDescent="0.25">
      <c r="C24" s="23"/>
      <c r="E24" s="22">
        <f>SUM(D16:E23)</f>
        <v>1060</v>
      </c>
      <c r="F24" s="23"/>
      <c r="H24" s="6">
        <f>SUM(G16:H23)</f>
        <v>45500000</v>
      </c>
      <c r="K24" s="6">
        <f>+G18+H18+G16+H16</f>
        <v>11500000</v>
      </c>
      <c r="N24" s="6">
        <f>SUM(M16:N23)</f>
        <v>45500000</v>
      </c>
      <c r="O24" s="23"/>
      <c r="Q24" s="6">
        <v>24000000</v>
      </c>
      <c r="T24" s="6">
        <f>SUM(S16:T23)</f>
        <v>21000000</v>
      </c>
      <c r="W24" s="6">
        <f>SUM(V16:W23)</f>
        <v>45000000.000000007</v>
      </c>
      <c r="X24" s="23"/>
      <c r="Z24" s="42">
        <f>SUM(Y16:Z23)</f>
        <v>500000</v>
      </c>
      <c r="AC24" s="42">
        <f>SUM(AB16:AC23)</f>
        <v>3600000</v>
      </c>
    </row>
    <row r="25" spans="2:29" x14ac:dyDescent="0.25">
      <c r="B25"/>
      <c r="D25"/>
      <c r="E25"/>
      <c r="G25" s="3"/>
      <c r="H25" s="3"/>
      <c r="J25" s="3"/>
      <c r="K25" s="3"/>
      <c r="M25" s="3"/>
      <c r="N25" s="3"/>
      <c r="P25" s="3"/>
      <c r="Q25" s="3"/>
      <c r="S25" s="3"/>
      <c r="T25" s="3"/>
      <c r="V25" s="3"/>
      <c r="W25" s="3"/>
      <c r="Y25" s="43"/>
      <c r="Z25" s="43"/>
      <c r="AB25" s="43"/>
      <c r="AC25" s="43"/>
    </row>
    <row r="26" spans="2:29" x14ac:dyDescent="0.25">
      <c r="B26"/>
      <c r="D26"/>
      <c r="E26"/>
      <c r="G26" s="3"/>
      <c r="H26" s="3"/>
      <c r="J26" s="3"/>
      <c r="K26" s="3"/>
      <c r="M26" s="3"/>
      <c r="N26" s="3"/>
      <c r="P26" s="3"/>
      <c r="Q26" s="3"/>
      <c r="S26" s="3"/>
      <c r="T26" s="3"/>
      <c r="V26" s="3"/>
      <c r="W26" s="3"/>
      <c r="Y26" s="43"/>
      <c r="Z26" s="43"/>
      <c r="AB26" s="43"/>
      <c r="AC26" s="43"/>
    </row>
    <row r="27" spans="2:29" x14ac:dyDescent="0.25">
      <c r="D27" s="191" t="s">
        <v>26</v>
      </c>
      <c r="E27" s="191"/>
      <c r="F27" s="191"/>
      <c r="G27" s="191"/>
      <c r="H27" s="191"/>
      <c r="I27" s="191"/>
      <c r="J27" s="191"/>
      <c r="K27" s="191"/>
      <c r="L27" s="191"/>
      <c r="M27" s="191"/>
      <c r="N27" s="191"/>
      <c r="O27" s="191"/>
      <c r="P27" s="191"/>
      <c r="Q27" s="191"/>
      <c r="R27" s="191"/>
      <c r="S27" s="191"/>
      <c r="T27" s="191"/>
      <c r="U27" s="191"/>
      <c r="V27" s="191"/>
      <c r="W27" s="191"/>
      <c r="X27" s="191"/>
      <c r="Y27" s="191"/>
      <c r="Z27" s="191"/>
      <c r="AB27"/>
      <c r="AC27"/>
    </row>
    <row r="28" spans="2:29" x14ac:dyDescent="0.25">
      <c r="D28" s="47" t="s">
        <v>27</v>
      </c>
    </row>
    <row r="29" spans="2:29" x14ac:dyDescent="0.25">
      <c r="D29" s="47" t="s">
        <v>28</v>
      </c>
    </row>
    <row r="30" spans="2:29" x14ac:dyDescent="0.25">
      <c r="D30" s="47" t="s">
        <v>29</v>
      </c>
    </row>
    <row r="31" spans="2:29" x14ac:dyDescent="0.25">
      <c r="D31" s="47" t="s">
        <v>31</v>
      </c>
    </row>
    <row r="32" spans="2:29" x14ac:dyDescent="0.25">
      <c r="D32" s="47"/>
    </row>
    <row r="33" spans="4:4" x14ac:dyDescent="0.25">
      <c r="D33" s="47"/>
    </row>
  </sheetData>
  <mergeCells count="37">
    <mergeCell ref="D27:Z27"/>
    <mergeCell ref="AB14:AC14"/>
    <mergeCell ref="D15:E15"/>
    <mergeCell ref="G15:H15"/>
    <mergeCell ref="J15:K15"/>
    <mergeCell ref="M15:N15"/>
    <mergeCell ref="P15:Q15"/>
    <mergeCell ref="S15:T15"/>
    <mergeCell ref="V15:W15"/>
    <mergeCell ref="Y15:Z15"/>
    <mergeCell ref="AB15:AC15"/>
    <mergeCell ref="Y3:Z3"/>
    <mergeCell ref="AB3:AC3"/>
    <mergeCell ref="D14:E14"/>
    <mergeCell ref="G14:H14"/>
    <mergeCell ref="J14:K14"/>
    <mergeCell ref="M14:N14"/>
    <mergeCell ref="P14:Q14"/>
    <mergeCell ref="S14:T14"/>
    <mergeCell ref="V14:W14"/>
    <mergeCell ref="Y14:Z14"/>
    <mergeCell ref="V2:W2"/>
    <mergeCell ref="Y2:Z2"/>
    <mergeCell ref="AB2:AC2"/>
    <mergeCell ref="D3:E3"/>
    <mergeCell ref="G3:H3"/>
    <mergeCell ref="J3:K3"/>
    <mergeCell ref="M3:N3"/>
    <mergeCell ref="P3:Q3"/>
    <mergeCell ref="S3:T3"/>
    <mergeCell ref="V3:W3"/>
    <mergeCell ref="D2:E2"/>
    <mergeCell ref="G2:H2"/>
    <mergeCell ref="J2:K2"/>
    <mergeCell ref="M2:N2"/>
    <mergeCell ref="P2:Q2"/>
    <mergeCell ref="S2:T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F7C8-8FCB-4135-AB54-3D0249A83BF6}">
  <dimension ref="B2:AO33"/>
  <sheetViews>
    <sheetView showGridLines="0" showZeros="0" zoomScaleNormal="100" workbookViewId="0">
      <selection activeCell="AC35" sqref="AC35"/>
    </sheetView>
  </sheetViews>
  <sheetFormatPr defaultRowHeight="15" x14ac:dyDescent="0.25"/>
  <cols>
    <col min="1" max="1" width="2.5703125" customWidth="1"/>
    <col min="2" max="2" width="10.140625" style="1" customWidth="1"/>
    <col min="3" max="3" width="1.5703125" customWidth="1"/>
    <col min="4" max="4" width="11.140625" style="5" hidden="1" customWidth="1"/>
    <col min="5" max="5" width="12" style="5" hidden="1" customWidth="1"/>
    <col min="6" max="6" width="1.28515625" hidden="1" customWidth="1"/>
    <col min="7" max="7" width="10.85546875" style="5" hidden="1" customWidth="1"/>
    <col min="8" max="8" width="12" style="5" hidden="1" customWidth="1"/>
    <col min="9" max="9" width="1.140625" hidden="1" customWidth="1"/>
    <col min="10" max="10" width="11" style="5" hidden="1" customWidth="1"/>
    <col min="11" max="11" width="12" style="5" hidden="1" customWidth="1"/>
    <col min="12" max="12" width="1.5703125" hidden="1" customWidth="1"/>
    <col min="13" max="13" width="11.140625" style="5" customWidth="1"/>
    <col min="14" max="14" width="12" style="5" customWidth="1"/>
    <col min="15" max="15" width="1.5703125" customWidth="1"/>
    <col min="16" max="16" width="9.28515625" style="21" customWidth="1"/>
    <col min="17" max="17" width="11.140625" style="21" customWidth="1"/>
    <col min="18" max="18" width="1.5703125" customWidth="1"/>
    <col min="19" max="19" width="11.140625" style="5" hidden="1" customWidth="1"/>
    <col min="20" max="20" width="12" style="5" hidden="1" customWidth="1"/>
    <col min="21" max="21" width="1.28515625" hidden="1" customWidth="1"/>
    <col min="22" max="22" width="10.85546875" style="5" hidden="1" customWidth="1"/>
    <col min="23" max="23" width="12" style="5" hidden="1" customWidth="1"/>
    <col min="24" max="24" width="1.140625" hidden="1" customWidth="1"/>
    <col min="25" max="25" width="11" style="5" hidden="1" customWidth="1"/>
    <col min="26" max="26" width="12" style="5" hidden="1" customWidth="1"/>
    <col min="27" max="27" width="1.5703125" hidden="1" customWidth="1"/>
    <col min="28" max="28" width="11.140625" style="5" customWidth="1"/>
    <col min="29" max="29" width="12" style="5" customWidth="1"/>
    <col min="30" max="30" width="1.42578125" customWidth="1"/>
    <col min="31" max="31" width="11" style="5" customWidth="1"/>
    <col min="32" max="32" width="12" style="5" customWidth="1"/>
    <col min="33" max="33" width="1.42578125" customWidth="1"/>
    <col min="34" max="34" width="11.140625" style="5" customWidth="1"/>
    <col min="35" max="35" width="12" style="5" customWidth="1"/>
    <col min="36" max="36" width="1.5703125" customWidth="1"/>
    <col min="37" max="37" width="12.28515625" style="41" customWidth="1"/>
    <col min="38" max="38" width="12.85546875" style="41" customWidth="1"/>
    <col min="39" max="39" width="1.85546875" customWidth="1"/>
    <col min="40" max="40" width="12.28515625" style="41" customWidth="1"/>
    <col min="41" max="41" width="13.140625" style="41" customWidth="1"/>
  </cols>
  <sheetData>
    <row r="2" spans="2:41" x14ac:dyDescent="0.25">
      <c r="C2" s="23"/>
      <c r="D2" s="37"/>
      <c r="E2" s="37"/>
      <c r="F2" s="25"/>
      <c r="G2" s="44" t="s">
        <v>20</v>
      </c>
      <c r="H2" s="45"/>
      <c r="I2" s="25"/>
      <c r="J2" s="37" t="s">
        <v>0</v>
      </c>
      <c r="K2" s="37"/>
      <c r="L2" s="23"/>
      <c r="M2" s="188" t="s">
        <v>32</v>
      </c>
      <c r="N2" s="189"/>
      <c r="O2" s="23"/>
      <c r="P2" s="192" t="s">
        <v>33</v>
      </c>
      <c r="Q2" s="193"/>
      <c r="R2" s="23"/>
      <c r="S2" s="37"/>
      <c r="T2" s="37"/>
      <c r="U2" s="25"/>
      <c r="V2" s="44" t="s">
        <v>20</v>
      </c>
      <c r="W2" s="45"/>
      <c r="X2" s="25"/>
      <c r="Y2" s="37" t="s">
        <v>0</v>
      </c>
      <c r="Z2" s="37"/>
      <c r="AA2" s="23"/>
      <c r="AB2" s="188" t="s">
        <v>34</v>
      </c>
      <c r="AC2" s="189"/>
      <c r="AD2" s="25"/>
      <c r="AE2" s="37"/>
      <c r="AF2" s="37"/>
      <c r="AG2" s="25"/>
      <c r="AH2" s="37" t="s">
        <v>1</v>
      </c>
      <c r="AI2" s="37"/>
      <c r="AJ2" s="23"/>
      <c r="AK2" s="38" t="s">
        <v>21</v>
      </c>
      <c r="AL2" s="38"/>
      <c r="AN2" s="38" t="s">
        <v>22</v>
      </c>
      <c r="AO2" s="38"/>
    </row>
    <row r="3" spans="2:41" x14ac:dyDescent="0.25">
      <c r="C3" s="23"/>
      <c r="D3" s="37" t="s">
        <v>5</v>
      </c>
      <c r="E3" s="37"/>
      <c r="F3" s="25"/>
      <c r="G3" s="44" t="s">
        <v>23</v>
      </c>
      <c r="H3" s="45"/>
      <c r="I3" s="25"/>
      <c r="J3" s="37" t="s">
        <v>5</v>
      </c>
      <c r="K3" s="37"/>
      <c r="L3" s="23"/>
      <c r="M3" s="188" t="s">
        <v>35</v>
      </c>
      <c r="N3" s="189"/>
      <c r="O3" s="23"/>
      <c r="P3" s="192" t="s">
        <v>36</v>
      </c>
      <c r="Q3" s="193"/>
      <c r="R3" s="23"/>
      <c r="S3" s="37" t="s">
        <v>5</v>
      </c>
      <c r="T3" s="37"/>
      <c r="U3" s="25"/>
      <c r="V3" s="44" t="s">
        <v>23</v>
      </c>
      <c r="W3" s="45"/>
      <c r="X3" s="25"/>
      <c r="Y3" s="37" t="s">
        <v>5</v>
      </c>
      <c r="Z3" s="37"/>
      <c r="AA3" s="23"/>
      <c r="AB3" s="188" t="s">
        <v>37</v>
      </c>
      <c r="AC3" s="189"/>
      <c r="AD3" s="25"/>
      <c r="AE3" s="37" t="s">
        <v>8</v>
      </c>
      <c r="AF3" s="37"/>
      <c r="AG3" s="25"/>
      <c r="AH3" s="37" t="s">
        <v>9</v>
      </c>
      <c r="AI3" s="37"/>
      <c r="AJ3" s="23"/>
      <c r="AK3" s="38" t="s">
        <v>10</v>
      </c>
      <c r="AL3" s="38"/>
      <c r="AN3" s="38" t="s">
        <v>10</v>
      </c>
      <c r="AO3" s="38"/>
    </row>
    <row r="4" spans="2:41" x14ac:dyDescent="0.25">
      <c r="B4" s="2" t="s">
        <v>11</v>
      </c>
      <c r="C4" s="23"/>
      <c r="D4" s="4" t="e">
        <f>+Sheet1!#REF!*1000000</f>
        <v>#REF!</v>
      </c>
      <c r="E4" s="4" t="e">
        <f>+Sheet1!#REF!*1000000</f>
        <v>#REF!</v>
      </c>
      <c r="G4" s="4" t="e">
        <f>+$W$12*#REF!/$Q$12</f>
        <v>#REF!</v>
      </c>
      <c r="H4" s="4" t="e">
        <f>+$W$12*#REF!/$Q$12</f>
        <v>#REF!</v>
      </c>
      <c r="J4" s="4" t="e">
        <f>+D4+G4</f>
        <v>#REF!</v>
      </c>
      <c r="K4" s="4" t="e">
        <f t="shared" ref="K4:K5" si="0">+E4+H4</f>
        <v>#REF!</v>
      </c>
      <c r="L4" s="23"/>
      <c r="M4" s="4"/>
      <c r="N4" s="4"/>
      <c r="O4" s="23"/>
      <c r="P4" s="19">
        <v>25</v>
      </c>
      <c r="Q4" s="19">
        <v>25</v>
      </c>
      <c r="R4" s="23"/>
      <c r="S4" s="4">
        <f>+Sheet1!D4*1000000</f>
        <v>2750000</v>
      </c>
      <c r="T4" s="4">
        <f>+Sheet1!E4*1000000</f>
        <v>2750000</v>
      </c>
      <c r="V4" s="4">
        <f t="shared" ref="V4:W11" si="1">+$W$12*P4/$Q$12</f>
        <v>135135.13513513515</v>
      </c>
      <c r="W4" s="4">
        <f t="shared" si="1"/>
        <v>135135.13513513515</v>
      </c>
      <c r="Y4" s="4">
        <f>+S4+V4</f>
        <v>2885135.1351351351</v>
      </c>
      <c r="Z4" s="4">
        <f>+T4+W4</f>
        <v>2885135.1351351351</v>
      </c>
      <c r="AA4" s="23"/>
      <c r="AB4" s="4">
        <f t="shared" ref="AB4:AC11" si="2">+$AC$12*P4/$Q$12</f>
        <v>315315.31531531533</v>
      </c>
      <c r="AC4" s="4">
        <f t="shared" si="2"/>
        <v>315315.31531531533</v>
      </c>
      <c r="AE4" s="4">
        <f>+Sheet1!M4*1000000</f>
        <v>0</v>
      </c>
      <c r="AF4" s="4">
        <f>+Sheet1!N4*1000000</f>
        <v>875000</v>
      </c>
      <c r="AH4" s="4">
        <f t="shared" ref="AH4:AI11" si="3">+AB4+AE4</f>
        <v>315315.31531531533</v>
      </c>
      <c r="AI4" s="4">
        <f t="shared" si="3"/>
        <v>1190315.3153153153</v>
      </c>
      <c r="AJ4" s="23"/>
      <c r="AK4" s="39">
        <f t="shared" ref="AK4:AL11" si="4">+Y4-AH4</f>
        <v>2569819.8198198196</v>
      </c>
      <c r="AL4" s="39">
        <f t="shared" si="4"/>
        <v>1694819.8198198199</v>
      </c>
      <c r="AN4" s="39">
        <v>2500000</v>
      </c>
      <c r="AO4" s="39">
        <v>750000</v>
      </c>
    </row>
    <row r="5" spans="2:41" x14ac:dyDescent="0.25">
      <c r="B5" s="2" t="s">
        <v>12</v>
      </c>
      <c r="C5" s="23"/>
      <c r="D5" s="4" t="e">
        <f>+Sheet1!#REF!*1000000</f>
        <v>#REF!</v>
      </c>
      <c r="E5" s="4" t="e">
        <f>+Sheet1!#REF!*1000000</f>
        <v>#REF!</v>
      </c>
      <c r="G5" s="4" t="e">
        <f>+$W$12*#REF!/$Q$12</f>
        <v>#REF!</v>
      </c>
      <c r="H5" s="4" t="e">
        <f>+$W$12*#REF!/$Q$12</f>
        <v>#REF!</v>
      </c>
      <c r="J5" s="4" t="e">
        <f t="shared" ref="J5" si="5">+D5+G5</f>
        <v>#REF!</v>
      </c>
      <c r="K5" s="4" t="e">
        <f t="shared" si="0"/>
        <v>#REF!</v>
      </c>
      <c r="L5" s="23"/>
      <c r="M5" s="4"/>
      <c r="N5" s="4"/>
      <c r="O5" s="23"/>
      <c r="P5" s="19">
        <v>95</v>
      </c>
      <c r="Q5" s="19">
        <v>95</v>
      </c>
      <c r="R5" s="23"/>
      <c r="S5" s="4">
        <f>+Sheet1!D5*1000000</f>
        <v>3000000</v>
      </c>
      <c r="T5" s="4">
        <f>+Sheet1!E5*1000000</f>
        <v>3000000</v>
      </c>
      <c r="V5" s="4">
        <f t="shared" si="1"/>
        <v>513513.51351351349</v>
      </c>
      <c r="W5" s="4">
        <f t="shared" si="1"/>
        <v>513513.51351351349</v>
      </c>
      <c r="Y5" s="4">
        <f>+S5+V5</f>
        <v>3513513.5135135134</v>
      </c>
      <c r="Z5" s="4">
        <f>+T5+W5</f>
        <v>3513513.5135135134</v>
      </c>
      <c r="AA5" s="23"/>
      <c r="AB5" s="4">
        <f t="shared" si="2"/>
        <v>1198198.1981981981</v>
      </c>
      <c r="AC5" s="4">
        <f t="shared" si="2"/>
        <v>1198198.1981981981</v>
      </c>
      <c r="AE5" s="4">
        <f>+Sheet1!M5*1000000</f>
        <v>1750000</v>
      </c>
      <c r="AF5" s="4">
        <f>+Sheet1!N5*1000000</f>
        <v>1750000</v>
      </c>
      <c r="AH5" s="4">
        <f t="shared" si="3"/>
        <v>2948198.1981981983</v>
      </c>
      <c r="AI5" s="4">
        <f t="shared" si="3"/>
        <v>2948198.1981981983</v>
      </c>
      <c r="AJ5" s="23"/>
      <c r="AK5" s="39">
        <f t="shared" si="4"/>
        <v>565315.31531531503</v>
      </c>
      <c r="AL5" s="39">
        <f t="shared" si="4"/>
        <v>565315.31531531503</v>
      </c>
      <c r="AN5" s="39">
        <v>350000</v>
      </c>
      <c r="AO5" s="39">
        <v>350000</v>
      </c>
    </row>
    <row r="6" spans="2:41" x14ac:dyDescent="0.25">
      <c r="B6" s="2" t="s">
        <v>13</v>
      </c>
      <c r="C6" s="23"/>
      <c r="D6" s="7" t="e">
        <f>+Sheet1!#REF!*1000000</f>
        <v>#REF!</v>
      </c>
      <c r="E6" s="7" t="e">
        <f>+Sheet1!#REF!*1000000</f>
        <v>#REF!</v>
      </c>
      <c r="G6" s="7" t="e">
        <f>+$W$12*#REF!/$Q$12</f>
        <v>#REF!</v>
      </c>
      <c r="H6" s="7" t="e">
        <f>+$W$12*#REF!/$Q$12</f>
        <v>#REF!</v>
      </c>
      <c r="J6" s="7"/>
      <c r="K6" s="7"/>
      <c r="L6" s="23"/>
      <c r="M6" s="7">
        <v>7000000</v>
      </c>
      <c r="N6" s="7">
        <v>7000000</v>
      </c>
      <c r="O6" s="23"/>
      <c r="P6" s="20"/>
      <c r="Q6" s="20"/>
      <c r="R6" s="23"/>
      <c r="S6" s="7">
        <f>+Sheet1!D6*1000000</f>
        <v>3000000</v>
      </c>
      <c r="T6" s="7">
        <f>+Sheet1!E6*1000000</f>
        <v>3000000</v>
      </c>
      <c r="V6" s="7">
        <f t="shared" si="1"/>
        <v>0</v>
      </c>
      <c r="W6" s="7">
        <f t="shared" si="1"/>
        <v>0</v>
      </c>
      <c r="Y6" s="7"/>
      <c r="Z6" s="7"/>
      <c r="AA6" s="23"/>
      <c r="AB6" s="7">
        <f t="shared" si="2"/>
        <v>0</v>
      </c>
      <c r="AC6" s="7">
        <f t="shared" si="2"/>
        <v>0</v>
      </c>
      <c r="AE6" s="7">
        <f>+Sheet1!M6*1000000</f>
        <v>0</v>
      </c>
      <c r="AF6" s="7">
        <f>+Sheet1!N6*1000000</f>
        <v>0</v>
      </c>
      <c r="AH6" s="7">
        <f t="shared" si="3"/>
        <v>0</v>
      </c>
      <c r="AI6" s="7">
        <f t="shared" si="3"/>
        <v>0</v>
      </c>
      <c r="AJ6" s="23"/>
      <c r="AK6" s="40">
        <f t="shared" si="4"/>
        <v>0</v>
      </c>
      <c r="AL6" s="40">
        <f t="shared" si="4"/>
        <v>0</v>
      </c>
      <c r="AN6" s="40">
        <f>11000000*'Sheet1 (2)'!AE6</f>
        <v>0</v>
      </c>
      <c r="AO6" s="40">
        <f>11000000*'Sheet1 (2)'!AF6</f>
        <v>0</v>
      </c>
    </row>
    <row r="7" spans="2:41" x14ac:dyDescent="0.25">
      <c r="B7" s="2" t="s">
        <v>14</v>
      </c>
      <c r="C7" s="23"/>
      <c r="D7" s="4" t="e">
        <f>+Sheet1!#REF!*1000000</f>
        <v>#REF!</v>
      </c>
      <c r="E7" s="4" t="e">
        <f>+Sheet1!#REF!*1000000</f>
        <v>#REF!</v>
      </c>
      <c r="G7" s="4" t="e">
        <f>+$W$12*#REF!/$Q$12</f>
        <v>#REF!</v>
      </c>
      <c r="H7" s="4" t="e">
        <f>+$W$12*#REF!/$Q$12</f>
        <v>#REF!</v>
      </c>
      <c r="J7" s="4" t="e">
        <f t="shared" ref="J7:J11" si="6">+D7+G7</f>
        <v>#REF!</v>
      </c>
      <c r="K7" s="4" t="e">
        <f t="shared" ref="K7:K11" si="7">+E7+H7</f>
        <v>#REF!</v>
      </c>
      <c r="L7" s="23"/>
      <c r="M7" s="4"/>
      <c r="N7" s="4"/>
      <c r="O7" s="23"/>
      <c r="P7" s="19">
        <v>95</v>
      </c>
      <c r="Q7" s="19">
        <v>95</v>
      </c>
      <c r="R7" s="23"/>
      <c r="S7" s="4">
        <f>+Sheet1!D7*1000000</f>
        <v>3000000</v>
      </c>
      <c r="T7" s="4">
        <f>+Sheet1!E7*1000000</f>
        <v>3000000</v>
      </c>
      <c r="V7" s="4">
        <f t="shared" si="1"/>
        <v>513513.51351351349</v>
      </c>
      <c r="W7" s="4">
        <f t="shared" si="1"/>
        <v>513513.51351351349</v>
      </c>
      <c r="Y7" s="4">
        <f t="shared" ref="Y7:Z11" si="8">+S7+V7</f>
        <v>3513513.5135135134</v>
      </c>
      <c r="Z7" s="4">
        <f t="shared" si="8"/>
        <v>3513513.5135135134</v>
      </c>
      <c r="AA7" s="23"/>
      <c r="AB7" s="4">
        <f t="shared" si="2"/>
        <v>1198198.1981981981</v>
      </c>
      <c r="AC7" s="4">
        <f t="shared" si="2"/>
        <v>1198198.1981981981</v>
      </c>
      <c r="AE7" s="4">
        <f>+Sheet1!M7*1000000</f>
        <v>1750000</v>
      </c>
      <c r="AF7" s="4">
        <f>+Sheet1!N7*1000000</f>
        <v>1750000</v>
      </c>
      <c r="AH7" s="4">
        <f t="shared" si="3"/>
        <v>2948198.1981981983</v>
      </c>
      <c r="AI7" s="4">
        <f t="shared" si="3"/>
        <v>2948198.1981981983</v>
      </c>
      <c r="AJ7" s="23"/>
      <c r="AK7" s="39">
        <f t="shared" si="4"/>
        <v>565315.31531531503</v>
      </c>
      <c r="AL7" s="39">
        <f t="shared" si="4"/>
        <v>565315.31531531503</v>
      </c>
      <c r="AN7" s="39">
        <v>350000</v>
      </c>
      <c r="AO7" s="39">
        <v>350000</v>
      </c>
    </row>
    <row r="8" spans="2:41" x14ac:dyDescent="0.25">
      <c r="B8" s="2" t="s">
        <v>15</v>
      </c>
      <c r="C8" s="23"/>
      <c r="D8" s="4" t="e">
        <f>+Sheet1!#REF!*1000000</f>
        <v>#REF!</v>
      </c>
      <c r="E8" s="4" t="e">
        <f>+Sheet1!#REF!*1000000</f>
        <v>#REF!</v>
      </c>
      <c r="G8" s="4" t="e">
        <f>+$W$12*#REF!/$Q$12</f>
        <v>#REF!</v>
      </c>
      <c r="H8" s="4" t="e">
        <f>+$W$12*#REF!/$Q$12</f>
        <v>#REF!</v>
      </c>
      <c r="J8" s="4" t="e">
        <f t="shared" si="6"/>
        <v>#REF!</v>
      </c>
      <c r="K8" s="4" t="e">
        <f t="shared" si="7"/>
        <v>#REF!</v>
      </c>
      <c r="L8" s="23"/>
      <c r="M8" s="4"/>
      <c r="N8" s="4"/>
      <c r="O8" s="23"/>
      <c r="P8" s="19">
        <v>95</v>
      </c>
      <c r="Q8" s="19">
        <v>95</v>
      </c>
      <c r="R8" s="23"/>
      <c r="S8" s="4">
        <f>+Sheet1!D8*1000000</f>
        <v>3000000</v>
      </c>
      <c r="T8" s="4">
        <f>+Sheet1!E8*1000000</f>
        <v>3000000</v>
      </c>
      <c r="V8" s="4">
        <f t="shared" si="1"/>
        <v>513513.51351351349</v>
      </c>
      <c r="W8" s="4">
        <f t="shared" si="1"/>
        <v>513513.51351351349</v>
      </c>
      <c r="Y8" s="4">
        <f t="shared" si="8"/>
        <v>3513513.5135135134</v>
      </c>
      <c r="Z8" s="4">
        <f t="shared" si="8"/>
        <v>3513513.5135135134</v>
      </c>
      <c r="AA8" s="23"/>
      <c r="AB8" s="4">
        <f t="shared" si="2"/>
        <v>1198198.1981981981</v>
      </c>
      <c r="AC8" s="4">
        <f t="shared" si="2"/>
        <v>1198198.1981981981</v>
      </c>
      <c r="AE8" s="4">
        <f>+Sheet1!M8*1000000</f>
        <v>1750000</v>
      </c>
      <c r="AF8" s="4">
        <f>+Sheet1!N8*1000000</f>
        <v>1750000</v>
      </c>
      <c r="AH8" s="4">
        <f t="shared" si="3"/>
        <v>2948198.1981981983</v>
      </c>
      <c r="AI8" s="4">
        <f t="shared" si="3"/>
        <v>2948198.1981981983</v>
      </c>
      <c r="AJ8" s="23"/>
      <c r="AK8" s="39">
        <f t="shared" si="4"/>
        <v>565315.31531531503</v>
      </c>
      <c r="AL8" s="39">
        <f t="shared" si="4"/>
        <v>565315.31531531503</v>
      </c>
      <c r="AN8" s="39">
        <v>350000</v>
      </c>
      <c r="AO8" s="39">
        <v>350000</v>
      </c>
    </row>
    <row r="9" spans="2:41" x14ac:dyDescent="0.25">
      <c r="B9" s="2" t="s">
        <v>16</v>
      </c>
      <c r="C9" s="23"/>
      <c r="D9" s="4" t="e">
        <f>+Sheet1!#REF!*1000000</f>
        <v>#REF!</v>
      </c>
      <c r="E9" s="4" t="e">
        <f>+Sheet1!#REF!*1000000</f>
        <v>#REF!</v>
      </c>
      <c r="G9" s="4" t="e">
        <f>+$W$12*#REF!/$Q$12</f>
        <v>#REF!</v>
      </c>
      <c r="H9" s="4" t="e">
        <f>+$W$12*#REF!/$Q$12</f>
        <v>#REF!</v>
      </c>
      <c r="J9" s="4" t="e">
        <f t="shared" si="6"/>
        <v>#REF!</v>
      </c>
      <c r="K9" s="4" t="e">
        <f t="shared" si="7"/>
        <v>#REF!</v>
      </c>
      <c r="L9" s="23"/>
      <c r="M9" s="4"/>
      <c r="N9" s="4"/>
      <c r="O9" s="23"/>
      <c r="P9" s="19">
        <v>95</v>
      </c>
      <c r="Q9" s="19">
        <v>95</v>
      </c>
      <c r="R9" s="23"/>
      <c r="S9" s="4">
        <f>+Sheet1!D9*1000000</f>
        <v>3000000</v>
      </c>
      <c r="T9" s="4">
        <f>+Sheet1!E9*1000000</f>
        <v>3000000</v>
      </c>
      <c r="V9" s="4">
        <f t="shared" si="1"/>
        <v>513513.51351351349</v>
      </c>
      <c r="W9" s="4">
        <f t="shared" si="1"/>
        <v>513513.51351351349</v>
      </c>
      <c r="Y9" s="4">
        <f t="shared" si="8"/>
        <v>3513513.5135135134</v>
      </c>
      <c r="Z9" s="4">
        <f t="shared" si="8"/>
        <v>3513513.5135135134</v>
      </c>
      <c r="AA9" s="23"/>
      <c r="AB9" s="4">
        <f t="shared" si="2"/>
        <v>1198198.1981981981</v>
      </c>
      <c r="AC9" s="4">
        <f t="shared" si="2"/>
        <v>1198198.1981981981</v>
      </c>
      <c r="AE9" s="4">
        <f>+Sheet1!M9*1000000</f>
        <v>1750000</v>
      </c>
      <c r="AF9" s="4">
        <f>+Sheet1!N9*1000000</f>
        <v>1750000</v>
      </c>
      <c r="AH9" s="4">
        <f t="shared" si="3"/>
        <v>2948198.1981981983</v>
      </c>
      <c r="AI9" s="4">
        <f t="shared" si="3"/>
        <v>2948198.1981981983</v>
      </c>
      <c r="AJ9" s="23"/>
      <c r="AK9" s="39">
        <f t="shared" si="4"/>
        <v>565315.31531531503</v>
      </c>
      <c r="AL9" s="39">
        <f t="shared" si="4"/>
        <v>565315.31531531503</v>
      </c>
      <c r="AN9" s="39">
        <v>350000</v>
      </c>
      <c r="AO9" s="39">
        <v>350000</v>
      </c>
    </row>
    <row r="10" spans="2:41" x14ac:dyDescent="0.25">
      <c r="B10" s="2" t="s">
        <v>17</v>
      </c>
      <c r="C10" s="23"/>
      <c r="D10" s="4" t="e">
        <f>+Sheet1!#REF!*1000000</f>
        <v>#REF!</v>
      </c>
      <c r="E10" s="4" t="e">
        <f>+Sheet1!#REF!*1000000</f>
        <v>#REF!</v>
      </c>
      <c r="G10" s="4" t="e">
        <f>+$W$12*#REF!/$Q$12</f>
        <v>#REF!</v>
      </c>
      <c r="H10" s="4" t="e">
        <f>+$W$12*#REF!/$Q$12</f>
        <v>#REF!</v>
      </c>
      <c r="J10" s="4" t="e">
        <f t="shared" si="6"/>
        <v>#REF!</v>
      </c>
      <c r="K10" s="4" t="e">
        <f t="shared" si="7"/>
        <v>#REF!</v>
      </c>
      <c r="L10" s="23"/>
      <c r="M10" s="4"/>
      <c r="N10" s="4"/>
      <c r="O10" s="23"/>
      <c r="P10" s="19">
        <v>75</v>
      </c>
      <c r="Q10" s="19">
        <v>75</v>
      </c>
      <c r="R10" s="23"/>
      <c r="S10" s="4">
        <f>+Sheet1!D10*1000000</f>
        <v>2500000</v>
      </c>
      <c r="T10" s="4">
        <f>+Sheet1!E10*1000000</f>
        <v>2500000</v>
      </c>
      <c r="V10" s="4">
        <f t="shared" si="1"/>
        <v>405405.40540540538</v>
      </c>
      <c r="W10" s="4">
        <f t="shared" si="1"/>
        <v>405405.40540540538</v>
      </c>
      <c r="Y10" s="4">
        <f t="shared" si="8"/>
        <v>2905405.4054054054</v>
      </c>
      <c r="Z10" s="4">
        <f t="shared" si="8"/>
        <v>2905405.4054054054</v>
      </c>
      <c r="AA10" s="23"/>
      <c r="AB10" s="4">
        <f t="shared" si="2"/>
        <v>945945.94594594592</v>
      </c>
      <c r="AC10" s="4">
        <f t="shared" si="2"/>
        <v>945945.94594594592</v>
      </c>
      <c r="AE10" s="4">
        <f>+Sheet1!M10*1000000</f>
        <v>1750000</v>
      </c>
      <c r="AF10" s="4">
        <f>+Sheet1!N10*1000000</f>
        <v>1750000</v>
      </c>
      <c r="AH10" s="4">
        <f t="shared" si="3"/>
        <v>2695945.945945946</v>
      </c>
      <c r="AI10" s="4">
        <f t="shared" si="3"/>
        <v>2695945.945945946</v>
      </c>
      <c r="AJ10" s="23"/>
      <c r="AK10" s="39">
        <f t="shared" si="4"/>
        <v>209459.45945945941</v>
      </c>
      <c r="AL10" s="39">
        <f t="shared" si="4"/>
        <v>209459.45945945941</v>
      </c>
      <c r="AN10" s="39">
        <v>200000</v>
      </c>
      <c r="AO10" s="39">
        <v>200000</v>
      </c>
    </row>
    <row r="11" spans="2:41" x14ac:dyDescent="0.25">
      <c r="B11" s="2" t="s">
        <v>18</v>
      </c>
      <c r="C11" s="23"/>
      <c r="D11" s="4" t="e">
        <f>+Sheet1!#REF!*1000000</f>
        <v>#REF!</v>
      </c>
      <c r="E11" s="4" t="e">
        <f>+Sheet1!#REF!*1000000</f>
        <v>#REF!</v>
      </c>
      <c r="G11" s="4" t="e">
        <f>+$W$12*#REF!/$Q$12</f>
        <v>#REF!</v>
      </c>
      <c r="H11" s="4" t="e">
        <f>+$W$12*#REF!/$Q$12</f>
        <v>#REF!</v>
      </c>
      <c r="J11" s="4" t="e">
        <f t="shared" si="6"/>
        <v>#REF!</v>
      </c>
      <c r="K11" s="4" t="e">
        <f t="shared" si="7"/>
        <v>#REF!</v>
      </c>
      <c r="L11" s="23"/>
      <c r="M11" s="4"/>
      <c r="N11" s="4"/>
      <c r="O11" s="23"/>
      <c r="P11" s="19">
        <v>75</v>
      </c>
      <c r="Q11" s="19">
        <v>75</v>
      </c>
      <c r="R11" s="23"/>
      <c r="S11" s="4">
        <f>+Sheet1!D11*1000000</f>
        <v>0</v>
      </c>
      <c r="T11" s="4">
        <f>+Sheet1!E11*1000000</f>
        <v>2500000</v>
      </c>
      <c r="V11" s="4">
        <f t="shared" si="1"/>
        <v>405405.40540540538</v>
      </c>
      <c r="W11" s="4">
        <f t="shared" si="1"/>
        <v>405405.40540540538</v>
      </c>
      <c r="Y11" s="4">
        <f t="shared" si="8"/>
        <v>405405.40540540538</v>
      </c>
      <c r="Z11" s="4">
        <f t="shared" si="8"/>
        <v>2905405.4054054054</v>
      </c>
      <c r="AA11" s="23"/>
      <c r="AB11" s="4">
        <f t="shared" si="2"/>
        <v>945945.94594594592</v>
      </c>
      <c r="AC11" s="4">
        <f t="shared" si="2"/>
        <v>945945.94594594592</v>
      </c>
      <c r="AE11" s="4">
        <f>+Sheet1!M11*1000000</f>
        <v>0</v>
      </c>
      <c r="AF11" s="4">
        <f>+Sheet1!N11*1000000</f>
        <v>875000</v>
      </c>
      <c r="AH11" s="4">
        <f t="shared" si="3"/>
        <v>945945.94594594592</v>
      </c>
      <c r="AI11" s="4">
        <f t="shared" si="3"/>
        <v>1820945.945945946</v>
      </c>
      <c r="AJ11" s="23"/>
      <c r="AK11" s="39">
        <f t="shared" si="4"/>
        <v>-540540.54054054059</v>
      </c>
      <c r="AL11" s="39">
        <f t="shared" si="4"/>
        <v>1084459.4594594594</v>
      </c>
      <c r="AN11" s="39">
        <f>11000000*'Sheet1 (2)'!AE11</f>
        <v>0</v>
      </c>
      <c r="AO11" s="39">
        <v>550000</v>
      </c>
    </row>
    <row r="12" spans="2:41" x14ac:dyDescent="0.25">
      <c r="C12" s="23"/>
      <c r="E12" s="6" t="e">
        <f>SUM(D4:E11)</f>
        <v>#REF!</v>
      </c>
      <c r="H12" s="6" t="e">
        <f>+D6+E6</f>
        <v>#REF!</v>
      </c>
      <c r="K12" s="6" t="e">
        <f>SUM(J4:K11)</f>
        <v>#REF!</v>
      </c>
      <c r="L12" s="23"/>
      <c r="N12" s="6">
        <v>14000000</v>
      </c>
      <c r="O12" s="23"/>
      <c r="Q12" s="22">
        <f>SUM(P4:Q11)</f>
        <v>1110</v>
      </c>
      <c r="R12" s="23"/>
      <c r="T12" s="6">
        <f>SUM(S4:T11)</f>
        <v>43000000</v>
      </c>
      <c r="W12" s="6">
        <f>+S6+T6</f>
        <v>6000000</v>
      </c>
      <c r="Z12" s="6">
        <f>SUM(Y4:Z11)</f>
        <v>42999999.999999985</v>
      </c>
      <c r="AA12" s="23"/>
      <c r="AC12" s="6">
        <v>14000000</v>
      </c>
      <c r="AF12" s="6">
        <f>SUM(AE4:AF11)</f>
        <v>19250000</v>
      </c>
      <c r="AI12" s="6">
        <f>SUM(AH4:AI11)</f>
        <v>33250000</v>
      </c>
      <c r="AJ12" s="23"/>
      <c r="AL12" s="42">
        <f>SUM(AK4:AL11)</f>
        <v>9750000</v>
      </c>
      <c r="AO12" s="42">
        <f>SUM(AN4:AO11)</f>
        <v>7000000</v>
      </c>
    </row>
    <row r="13" spans="2:41" x14ac:dyDescent="0.25">
      <c r="B13"/>
      <c r="D13"/>
      <c r="E13"/>
      <c r="G13"/>
      <c r="H13"/>
      <c r="J13"/>
      <c r="K13"/>
      <c r="M13"/>
      <c r="N13"/>
      <c r="P13"/>
      <c r="Q13"/>
      <c r="S13"/>
      <c r="T13"/>
      <c r="V13"/>
      <c r="W13"/>
      <c r="Y13"/>
      <c r="Z13"/>
      <c r="AB13"/>
      <c r="AC13"/>
      <c r="AE13"/>
      <c r="AF13"/>
      <c r="AH13"/>
      <c r="AI13"/>
      <c r="AK13"/>
      <c r="AL13"/>
      <c r="AN13"/>
      <c r="AO13"/>
    </row>
    <row r="14" spans="2:41" x14ac:dyDescent="0.25">
      <c r="C14" s="23"/>
      <c r="D14" s="37"/>
      <c r="E14" s="37"/>
      <c r="F14" s="25"/>
      <c r="G14" s="44" t="s">
        <v>20</v>
      </c>
      <c r="H14" s="45"/>
      <c r="I14" s="25"/>
      <c r="J14" s="37" t="s">
        <v>0</v>
      </c>
      <c r="K14" s="37"/>
      <c r="L14" s="23"/>
      <c r="M14" s="44" t="s">
        <v>20</v>
      </c>
      <c r="N14" s="45"/>
      <c r="O14" s="23"/>
      <c r="P14" s="24" t="s">
        <v>25</v>
      </c>
      <c r="Q14" s="24"/>
      <c r="R14" s="23"/>
      <c r="S14" s="37"/>
      <c r="T14" s="37"/>
      <c r="U14" s="25"/>
      <c r="V14" s="44" t="s">
        <v>20</v>
      </c>
      <c r="W14" s="45"/>
      <c r="X14" s="25"/>
      <c r="Y14" s="37" t="s">
        <v>0</v>
      </c>
      <c r="Z14" s="37"/>
      <c r="AA14" s="23"/>
      <c r="AB14" s="44" t="s">
        <v>20</v>
      </c>
      <c r="AC14" s="45"/>
      <c r="AD14" s="25"/>
      <c r="AE14" s="37"/>
      <c r="AF14" s="37"/>
      <c r="AG14" s="25"/>
      <c r="AH14" s="37" t="s">
        <v>1</v>
      </c>
      <c r="AI14" s="37"/>
      <c r="AJ14" s="23"/>
      <c r="AK14" s="38" t="s">
        <v>21</v>
      </c>
      <c r="AL14" s="38"/>
      <c r="AN14" s="38" t="s">
        <v>22</v>
      </c>
      <c r="AO14" s="38"/>
    </row>
    <row r="15" spans="2:41" x14ac:dyDescent="0.25">
      <c r="C15" s="23"/>
      <c r="D15" s="37" t="s">
        <v>5</v>
      </c>
      <c r="E15" s="37"/>
      <c r="F15" s="25"/>
      <c r="G15" s="44" t="s">
        <v>23</v>
      </c>
      <c r="H15" s="45"/>
      <c r="I15" s="25"/>
      <c r="J15" s="37" t="s">
        <v>5</v>
      </c>
      <c r="K15" s="37"/>
      <c r="L15" s="23"/>
      <c r="M15" s="44" t="s">
        <v>24</v>
      </c>
      <c r="N15" s="45"/>
      <c r="O15" s="23"/>
      <c r="P15" s="24" t="s">
        <v>6</v>
      </c>
      <c r="Q15" s="24"/>
      <c r="R15" s="23"/>
      <c r="S15" s="37" t="s">
        <v>5</v>
      </c>
      <c r="T15" s="37"/>
      <c r="U15" s="25"/>
      <c r="V15" s="44" t="s">
        <v>23</v>
      </c>
      <c r="W15" s="45"/>
      <c r="X15" s="25"/>
      <c r="Y15" s="37" t="s">
        <v>5</v>
      </c>
      <c r="Z15" s="37"/>
      <c r="AA15" s="23"/>
      <c r="AB15" s="44" t="s">
        <v>24</v>
      </c>
      <c r="AC15" s="45"/>
      <c r="AD15" s="25"/>
      <c r="AE15" s="37" t="s">
        <v>8</v>
      </c>
      <c r="AF15" s="37"/>
      <c r="AG15" s="25"/>
      <c r="AH15" s="37" t="s">
        <v>9</v>
      </c>
      <c r="AI15" s="37"/>
      <c r="AJ15" s="23"/>
      <c r="AK15" s="38" t="s">
        <v>10</v>
      </c>
      <c r="AL15" s="38"/>
      <c r="AN15" s="38" t="s">
        <v>10</v>
      </c>
      <c r="AO15" s="38"/>
    </row>
    <row r="16" spans="2:41" x14ac:dyDescent="0.25">
      <c r="B16" s="2" t="s">
        <v>11</v>
      </c>
      <c r="C16" s="23"/>
      <c r="D16" s="7" t="e">
        <f>+Sheet1!#REF!*1000000</f>
        <v>#REF!</v>
      </c>
      <c r="E16" s="7" t="e">
        <f>+Sheet1!#REF!*1000000</f>
        <v>#REF!</v>
      </c>
      <c r="G16" s="7" t="e">
        <f>+$W$24*#REF!/$Q$24</f>
        <v>#REF!</v>
      </c>
      <c r="H16" s="7" t="e">
        <f>+$W$24*#REF!/$Q$24</f>
        <v>#REF!</v>
      </c>
      <c r="J16" s="7"/>
      <c r="K16" s="7"/>
      <c r="L16" s="23"/>
      <c r="M16" s="7" t="e">
        <f>+$AC$24*#REF!/$Q$24</f>
        <v>#REF!</v>
      </c>
      <c r="N16" s="7" t="e">
        <f>+$AC$24*#REF!/$Q$24</f>
        <v>#REF!</v>
      </c>
      <c r="O16" s="23"/>
      <c r="P16" s="20"/>
      <c r="Q16" s="20"/>
      <c r="R16" s="23"/>
      <c r="S16" s="7">
        <f>+Sheet1!D15*1000000</f>
        <v>2750000</v>
      </c>
      <c r="T16" s="7">
        <f>+Sheet1!E15*1000000</f>
        <v>2750000</v>
      </c>
      <c r="V16" s="7">
        <f t="shared" ref="V16:W23" si="9">+$W$24*P16/$Q$24</f>
        <v>0</v>
      </c>
      <c r="W16" s="7">
        <f t="shared" si="9"/>
        <v>0</v>
      </c>
      <c r="Y16" s="7"/>
      <c r="Z16" s="7"/>
      <c r="AA16" s="23"/>
      <c r="AB16" s="7">
        <f t="shared" ref="AB16:AC23" si="10">+$AC$24*P16/$Q$24</f>
        <v>0</v>
      </c>
      <c r="AC16" s="7">
        <f t="shared" si="10"/>
        <v>0</v>
      </c>
      <c r="AE16" s="7">
        <f>+Sheet1!M15*1000000</f>
        <v>0</v>
      </c>
      <c r="AF16" s="7">
        <f>+Sheet1!N15*1000000</f>
        <v>0</v>
      </c>
      <c r="AH16" s="7">
        <f t="shared" ref="AH16:AI23" si="11">+AB16+AE16</f>
        <v>0</v>
      </c>
      <c r="AI16" s="7">
        <f t="shared" si="11"/>
        <v>0</v>
      </c>
      <c r="AJ16" s="23"/>
      <c r="AK16" s="40">
        <f t="shared" ref="AK16:AL23" si="12">+Y16-AH16</f>
        <v>0</v>
      </c>
      <c r="AL16" s="40">
        <f t="shared" si="12"/>
        <v>0</v>
      </c>
      <c r="AN16" s="40"/>
      <c r="AO16" s="40"/>
    </row>
    <row r="17" spans="2:41" x14ac:dyDescent="0.25">
      <c r="B17" s="2" t="s">
        <v>12</v>
      </c>
      <c r="C17" s="23"/>
      <c r="D17" s="4" t="e">
        <f>+Sheet1!#REF!*1000000</f>
        <v>#REF!</v>
      </c>
      <c r="E17" s="4" t="e">
        <f>+Sheet1!#REF!*1000000</f>
        <v>#REF!</v>
      </c>
      <c r="G17" s="4" t="e">
        <f>+$W$24*#REF!/$Q$24</f>
        <v>#REF!</v>
      </c>
      <c r="H17" s="4" t="e">
        <f>+$W$24*#REF!/$Q$24</f>
        <v>#REF!</v>
      </c>
      <c r="J17" s="4" t="e">
        <f t="shared" ref="J17" si="13">+D17+G17</f>
        <v>#REF!</v>
      </c>
      <c r="K17" s="4" t="e">
        <f t="shared" ref="K17" si="14">+E17+H17</f>
        <v>#REF!</v>
      </c>
      <c r="L17" s="23"/>
      <c r="M17" s="4" t="e">
        <f>+$AC$24*#REF!/$Q$24</f>
        <v>#REF!</v>
      </c>
      <c r="N17" s="4" t="e">
        <f>+$AC$24*#REF!/$Q$24</f>
        <v>#REF!</v>
      </c>
      <c r="O17" s="23"/>
      <c r="P17" s="19">
        <v>95</v>
      </c>
      <c r="Q17" s="19">
        <v>95</v>
      </c>
      <c r="R17" s="23"/>
      <c r="S17" s="4">
        <f>+Sheet1!D16*1000000</f>
        <v>3000000</v>
      </c>
      <c r="T17" s="4">
        <f>+Sheet1!E16*1000000</f>
        <v>3000000</v>
      </c>
      <c r="V17" s="4">
        <f t="shared" si="9"/>
        <v>1030660.3773584906</v>
      </c>
      <c r="W17" s="4">
        <f t="shared" si="9"/>
        <v>1030660.3773584906</v>
      </c>
      <c r="Y17" s="4">
        <f t="shared" ref="Y17:Z23" si="15">+S17+V17</f>
        <v>4030660.3773584906</v>
      </c>
      <c r="Z17" s="4">
        <f t="shared" si="15"/>
        <v>4030660.3773584906</v>
      </c>
      <c r="AA17" s="23"/>
      <c r="AB17" s="4">
        <f t="shared" si="10"/>
        <v>2150943.3962264149</v>
      </c>
      <c r="AC17" s="4">
        <f t="shared" si="10"/>
        <v>2150943.3962264149</v>
      </c>
      <c r="AE17" s="4">
        <f>+Sheet1!M16*1000000</f>
        <v>1750000</v>
      </c>
      <c r="AF17" s="4">
        <f>+Sheet1!N16*1000000</f>
        <v>1750000</v>
      </c>
      <c r="AH17" s="4">
        <f t="shared" si="11"/>
        <v>3900943.3962264149</v>
      </c>
      <c r="AI17" s="4">
        <f t="shared" si="11"/>
        <v>3900943.3962264149</v>
      </c>
      <c r="AJ17" s="23"/>
      <c r="AK17" s="39">
        <f t="shared" si="12"/>
        <v>129716.98113207566</v>
      </c>
      <c r="AL17" s="39">
        <f t="shared" si="12"/>
        <v>129716.98113207566</v>
      </c>
      <c r="AN17" s="39">
        <v>350000</v>
      </c>
      <c r="AO17" s="39">
        <v>350000</v>
      </c>
    </row>
    <row r="18" spans="2:41" x14ac:dyDescent="0.25">
      <c r="B18" s="2" t="s">
        <v>13</v>
      </c>
      <c r="C18" s="23"/>
      <c r="D18" s="7" t="e">
        <f>+Sheet1!#REF!*1000000</f>
        <v>#REF!</v>
      </c>
      <c r="E18" s="7" t="e">
        <f>+Sheet1!#REF!*1000000</f>
        <v>#REF!</v>
      </c>
      <c r="G18" s="7" t="e">
        <f>+$W$24*#REF!/$Q$24</f>
        <v>#REF!</v>
      </c>
      <c r="H18" s="7" t="e">
        <f>+$W$24*#REF!/$Q$24</f>
        <v>#REF!</v>
      </c>
      <c r="J18" s="7"/>
      <c r="K18" s="7"/>
      <c r="L18" s="23"/>
      <c r="M18" s="7" t="e">
        <f>+$AC$24*#REF!/$Q$24</f>
        <v>#REF!</v>
      </c>
      <c r="N18" s="7" t="e">
        <f>+$AC$24*#REF!/$Q$24</f>
        <v>#REF!</v>
      </c>
      <c r="O18" s="23"/>
      <c r="P18" s="20"/>
      <c r="Q18" s="20"/>
      <c r="R18" s="23"/>
      <c r="S18" s="7">
        <f>+Sheet1!D17*1000000</f>
        <v>3000000</v>
      </c>
      <c r="T18" s="7">
        <f>+Sheet1!E17*1000000</f>
        <v>3000000</v>
      </c>
      <c r="V18" s="7">
        <f t="shared" si="9"/>
        <v>0</v>
      </c>
      <c r="W18" s="7">
        <f t="shared" si="9"/>
        <v>0</v>
      </c>
      <c r="Y18" s="7"/>
      <c r="Z18" s="7"/>
      <c r="AA18" s="23"/>
      <c r="AB18" s="7">
        <f t="shared" si="10"/>
        <v>0</v>
      </c>
      <c r="AC18" s="7">
        <f t="shared" si="10"/>
        <v>0</v>
      </c>
      <c r="AE18" s="7">
        <f>+Sheet1!M17*1000000</f>
        <v>0</v>
      </c>
      <c r="AF18" s="7">
        <f>+Sheet1!N17*1000000</f>
        <v>0</v>
      </c>
      <c r="AH18" s="7">
        <f t="shared" si="11"/>
        <v>0</v>
      </c>
      <c r="AI18" s="7">
        <f t="shared" si="11"/>
        <v>0</v>
      </c>
      <c r="AJ18" s="23"/>
      <c r="AK18" s="40">
        <f t="shared" si="12"/>
        <v>0</v>
      </c>
      <c r="AL18" s="40">
        <f t="shared" si="12"/>
        <v>0</v>
      </c>
      <c r="AN18" s="40">
        <f>11000000*'Sheet1 (2)'!AE18</f>
        <v>0</v>
      </c>
      <c r="AO18" s="40">
        <f>11000000*'Sheet1 (2)'!AF18</f>
        <v>0</v>
      </c>
    </row>
    <row r="19" spans="2:41" x14ac:dyDescent="0.25">
      <c r="B19" s="2" t="s">
        <v>14</v>
      </c>
      <c r="C19" s="23"/>
      <c r="D19" s="4" t="e">
        <f>+Sheet1!#REF!*1000000</f>
        <v>#REF!</v>
      </c>
      <c r="E19" s="4" t="e">
        <f>+Sheet1!#REF!*1000000</f>
        <v>#REF!</v>
      </c>
      <c r="G19" s="4" t="e">
        <f>+$W$24*#REF!/$Q$24</f>
        <v>#REF!</v>
      </c>
      <c r="H19" s="4" t="e">
        <f>+$W$24*#REF!/$Q$24</f>
        <v>#REF!</v>
      </c>
      <c r="J19" s="4" t="e">
        <f t="shared" ref="J19:J23" si="16">+D19+G19</f>
        <v>#REF!</v>
      </c>
      <c r="K19" s="4" t="e">
        <f t="shared" ref="K19:K23" si="17">+E19+H19</f>
        <v>#REF!</v>
      </c>
      <c r="L19" s="23"/>
      <c r="M19" s="4" t="e">
        <f>+$AC$24*#REF!/$Q$24</f>
        <v>#REF!</v>
      </c>
      <c r="N19" s="4" t="e">
        <f>+$AC$24*#REF!/$Q$24</f>
        <v>#REF!</v>
      </c>
      <c r="O19" s="23"/>
      <c r="P19" s="19">
        <v>95</v>
      </c>
      <c r="Q19" s="19">
        <v>95</v>
      </c>
      <c r="R19" s="23"/>
      <c r="S19" s="4">
        <f>+Sheet1!D18*1000000</f>
        <v>3000000</v>
      </c>
      <c r="T19" s="4">
        <f>+Sheet1!E18*1000000</f>
        <v>3000000</v>
      </c>
      <c r="V19" s="4">
        <f t="shared" si="9"/>
        <v>1030660.3773584906</v>
      </c>
      <c r="W19" s="4">
        <f t="shared" si="9"/>
        <v>1030660.3773584906</v>
      </c>
      <c r="Y19" s="4">
        <f t="shared" si="15"/>
        <v>4030660.3773584906</v>
      </c>
      <c r="Z19" s="4">
        <f t="shared" si="15"/>
        <v>4030660.3773584906</v>
      </c>
      <c r="AA19" s="23"/>
      <c r="AB19" s="4">
        <f t="shared" si="10"/>
        <v>2150943.3962264149</v>
      </c>
      <c r="AC19" s="4">
        <f t="shared" si="10"/>
        <v>2150943.3962264149</v>
      </c>
      <c r="AE19" s="4">
        <f>+Sheet1!M18*1000000</f>
        <v>1750000</v>
      </c>
      <c r="AF19" s="4">
        <f>+Sheet1!N18*1000000</f>
        <v>1750000</v>
      </c>
      <c r="AH19" s="4">
        <f t="shared" si="11"/>
        <v>3900943.3962264149</v>
      </c>
      <c r="AI19" s="4">
        <f t="shared" si="11"/>
        <v>3900943.3962264149</v>
      </c>
      <c r="AJ19" s="23"/>
      <c r="AK19" s="39">
        <f t="shared" si="12"/>
        <v>129716.98113207566</v>
      </c>
      <c r="AL19" s="39">
        <f t="shared" si="12"/>
        <v>129716.98113207566</v>
      </c>
      <c r="AN19" s="39">
        <v>350000</v>
      </c>
      <c r="AO19" s="39">
        <v>350000</v>
      </c>
    </row>
    <row r="20" spans="2:41" x14ac:dyDescent="0.25">
      <c r="B20" s="2" t="s">
        <v>15</v>
      </c>
      <c r="C20" s="23"/>
      <c r="D20" s="4" t="e">
        <f>+Sheet1!#REF!*1000000</f>
        <v>#REF!</v>
      </c>
      <c r="E20" s="4" t="e">
        <f>+Sheet1!#REF!*1000000</f>
        <v>#REF!</v>
      </c>
      <c r="G20" s="4" t="e">
        <f>+$W$24*#REF!/$Q$24</f>
        <v>#REF!</v>
      </c>
      <c r="H20" s="4" t="e">
        <f>+$W$24*#REF!/$Q$24</f>
        <v>#REF!</v>
      </c>
      <c r="J20" s="4" t="e">
        <f t="shared" si="16"/>
        <v>#REF!</v>
      </c>
      <c r="K20" s="4" t="e">
        <f t="shared" si="17"/>
        <v>#REF!</v>
      </c>
      <c r="L20" s="23"/>
      <c r="M20" s="4" t="e">
        <f>+$AC$24*#REF!/$Q$24</f>
        <v>#REF!</v>
      </c>
      <c r="N20" s="4" t="e">
        <f>+$AC$24*#REF!/$Q$24</f>
        <v>#REF!</v>
      </c>
      <c r="O20" s="23"/>
      <c r="P20" s="19">
        <v>95</v>
      </c>
      <c r="Q20" s="19">
        <v>95</v>
      </c>
      <c r="R20" s="23"/>
      <c r="S20" s="4">
        <f>+Sheet1!D19*1000000</f>
        <v>3000000</v>
      </c>
      <c r="T20" s="4">
        <f>+Sheet1!E19*1000000</f>
        <v>3000000</v>
      </c>
      <c r="V20" s="4">
        <f t="shared" si="9"/>
        <v>1030660.3773584906</v>
      </c>
      <c r="W20" s="4">
        <f t="shared" si="9"/>
        <v>1030660.3773584906</v>
      </c>
      <c r="Y20" s="4">
        <f t="shared" si="15"/>
        <v>4030660.3773584906</v>
      </c>
      <c r="Z20" s="4">
        <f t="shared" si="15"/>
        <v>4030660.3773584906</v>
      </c>
      <c r="AA20" s="23"/>
      <c r="AB20" s="4">
        <f t="shared" si="10"/>
        <v>2150943.3962264149</v>
      </c>
      <c r="AC20" s="4">
        <f t="shared" si="10"/>
        <v>2150943.3962264149</v>
      </c>
      <c r="AE20" s="4">
        <f>+Sheet1!M19*1000000</f>
        <v>1750000</v>
      </c>
      <c r="AF20" s="4">
        <f>+Sheet1!N19*1000000</f>
        <v>1750000</v>
      </c>
      <c r="AH20" s="4">
        <f t="shared" si="11"/>
        <v>3900943.3962264149</v>
      </c>
      <c r="AI20" s="4">
        <f t="shared" si="11"/>
        <v>3900943.3962264149</v>
      </c>
      <c r="AJ20" s="23"/>
      <c r="AK20" s="39">
        <f t="shared" si="12"/>
        <v>129716.98113207566</v>
      </c>
      <c r="AL20" s="39">
        <f t="shared" si="12"/>
        <v>129716.98113207566</v>
      </c>
      <c r="AN20" s="39">
        <v>350000</v>
      </c>
      <c r="AO20" s="39">
        <v>350000</v>
      </c>
    </row>
    <row r="21" spans="2:41" x14ac:dyDescent="0.25">
      <c r="B21" s="2" t="s">
        <v>16</v>
      </c>
      <c r="C21" s="23"/>
      <c r="D21" s="4" t="e">
        <f>+Sheet1!#REF!*1000000</f>
        <v>#REF!</v>
      </c>
      <c r="E21" s="4" t="e">
        <f>+Sheet1!#REF!*1000000</f>
        <v>#REF!</v>
      </c>
      <c r="G21" s="4" t="e">
        <f>+$W$24*#REF!/$Q$24</f>
        <v>#REF!</v>
      </c>
      <c r="H21" s="4" t="e">
        <f>+$W$24*#REF!/$Q$24</f>
        <v>#REF!</v>
      </c>
      <c r="J21" s="4" t="e">
        <f t="shared" si="16"/>
        <v>#REF!</v>
      </c>
      <c r="K21" s="4" t="e">
        <f t="shared" si="17"/>
        <v>#REF!</v>
      </c>
      <c r="L21" s="23"/>
      <c r="M21" s="4" t="e">
        <f>+$AC$24*#REF!/$Q$24</f>
        <v>#REF!</v>
      </c>
      <c r="N21" s="4" t="e">
        <f>+$AC$24*#REF!/$Q$24</f>
        <v>#REF!</v>
      </c>
      <c r="O21" s="23"/>
      <c r="P21" s="19">
        <v>95</v>
      </c>
      <c r="Q21" s="19">
        <v>95</v>
      </c>
      <c r="R21" s="23"/>
      <c r="S21" s="4">
        <f>+Sheet1!D20*1000000</f>
        <v>3000000</v>
      </c>
      <c r="T21" s="4">
        <f>+Sheet1!E20*1000000</f>
        <v>3000000</v>
      </c>
      <c r="V21" s="4">
        <f t="shared" si="9"/>
        <v>1030660.3773584906</v>
      </c>
      <c r="W21" s="4">
        <f t="shared" si="9"/>
        <v>1030660.3773584906</v>
      </c>
      <c r="Y21" s="4">
        <f t="shared" si="15"/>
        <v>4030660.3773584906</v>
      </c>
      <c r="Z21" s="4">
        <f t="shared" si="15"/>
        <v>4030660.3773584906</v>
      </c>
      <c r="AA21" s="23"/>
      <c r="AB21" s="4">
        <f t="shared" si="10"/>
        <v>2150943.3962264149</v>
      </c>
      <c r="AC21" s="4">
        <f t="shared" si="10"/>
        <v>2150943.3962264149</v>
      </c>
      <c r="AE21" s="4">
        <f>+Sheet1!M20*1000000</f>
        <v>1750000</v>
      </c>
      <c r="AF21" s="4">
        <f>+Sheet1!N20*1000000</f>
        <v>1750000</v>
      </c>
      <c r="AH21" s="4">
        <f t="shared" si="11"/>
        <v>3900943.3962264149</v>
      </c>
      <c r="AI21" s="4">
        <f t="shared" si="11"/>
        <v>3900943.3962264149</v>
      </c>
      <c r="AJ21" s="23"/>
      <c r="AK21" s="39">
        <f t="shared" si="12"/>
        <v>129716.98113207566</v>
      </c>
      <c r="AL21" s="39">
        <f t="shared" si="12"/>
        <v>129716.98113207566</v>
      </c>
      <c r="AN21" s="39">
        <v>350000</v>
      </c>
      <c r="AO21" s="39">
        <v>350000</v>
      </c>
    </row>
    <row r="22" spans="2:41" x14ac:dyDescent="0.25">
      <c r="B22" s="2" t="s">
        <v>17</v>
      </c>
      <c r="C22" s="23"/>
      <c r="D22" s="4" t="e">
        <f>+Sheet1!#REF!*1000000</f>
        <v>#REF!</v>
      </c>
      <c r="E22" s="4" t="e">
        <f>+Sheet1!#REF!*1000000</f>
        <v>#REF!</v>
      </c>
      <c r="G22" s="4" t="e">
        <f>+$W$24*#REF!/$Q$24</f>
        <v>#REF!</v>
      </c>
      <c r="H22" s="4" t="e">
        <f>+$W$24*#REF!/$Q$24</f>
        <v>#REF!</v>
      </c>
      <c r="J22" s="4" t="e">
        <f t="shared" si="16"/>
        <v>#REF!</v>
      </c>
      <c r="K22" s="4" t="e">
        <f t="shared" si="17"/>
        <v>#REF!</v>
      </c>
      <c r="L22" s="23"/>
      <c r="M22" s="4" t="e">
        <f>+$AC$24*#REF!/$Q$24</f>
        <v>#REF!</v>
      </c>
      <c r="N22" s="4" t="e">
        <f>+$AC$24*#REF!/$Q$24</f>
        <v>#REF!</v>
      </c>
      <c r="O22" s="23"/>
      <c r="P22" s="19">
        <v>75</v>
      </c>
      <c r="Q22" s="19">
        <v>75</v>
      </c>
      <c r="R22" s="23"/>
      <c r="S22" s="4">
        <f>+Sheet1!D21*1000000</f>
        <v>2500000</v>
      </c>
      <c r="T22" s="4">
        <f>+Sheet1!E21*1000000</f>
        <v>2500000</v>
      </c>
      <c r="V22" s="4">
        <f t="shared" si="9"/>
        <v>813679.24528301891</v>
      </c>
      <c r="W22" s="4">
        <f t="shared" si="9"/>
        <v>813679.24528301891</v>
      </c>
      <c r="Y22" s="4">
        <f t="shared" si="15"/>
        <v>3313679.2452830188</v>
      </c>
      <c r="Z22" s="4">
        <f t="shared" si="15"/>
        <v>3313679.2452830188</v>
      </c>
      <c r="AA22" s="23"/>
      <c r="AB22" s="4">
        <f t="shared" si="10"/>
        <v>1698113.2075471699</v>
      </c>
      <c r="AC22" s="4">
        <f t="shared" si="10"/>
        <v>1698113.2075471699</v>
      </c>
      <c r="AE22" s="4">
        <f>+Sheet1!M21*1000000</f>
        <v>1750000</v>
      </c>
      <c r="AF22" s="4">
        <f>+Sheet1!N21*1000000</f>
        <v>1750000</v>
      </c>
      <c r="AH22" s="4">
        <f t="shared" si="11"/>
        <v>3448113.2075471701</v>
      </c>
      <c r="AI22" s="4">
        <f t="shared" si="11"/>
        <v>3448113.2075471701</v>
      </c>
      <c r="AJ22" s="23"/>
      <c r="AK22" s="39">
        <f t="shared" si="12"/>
        <v>-134433.96226415131</v>
      </c>
      <c r="AL22" s="39">
        <f t="shared" si="12"/>
        <v>-134433.96226415131</v>
      </c>
      <c r="AN22" s="39">
        <v>200000</v>
      </c>
      <c r="AO22" s="39">
        <v>200000</v>
      </c>
    </row>
    <row r="23" spans="2:41" x14ac:dyDescent="0.25">
      <c r="B23" s="2" t="s">
        <v>18</v>
      </c>
      <c r="C23" s="23"/>
      <c r="D23" s="4" t="e">
        <f>+Sheet1!#REF!*1000000</f>
        <v>#REF!</v>
      </c>
      <c r="E23" s="4" t="e">
        <f>+Sheet1!#REF!*1000000</f>
        <v>#REF!</v>
      </c>
      <c r="G23" s="4" t="e">
        <f>+$W$24*#REF!/$Q$24</f>
        <v>#REF!</v>
      </c>
      <c r="H23" s="4" t="e">
        <f>+$W$24*#REF!/$Q$24</f>
        <v>#REF!</v>
      </c>
      <c r="J23" s="4" t="e">
        <f t="shared" si="16"/>
        <v>#REF!</v>
      </c>
      <c r="K23" s="4" t="e">
        <f t="shared" si="17"/>
        <v>#REF!</v>
      </c>
      <c r="L23" s="23"/>
      <c r="M23" s="4" t="e">
        <f>+$AC$24*#REF!/$Q$24</f>
        <v>#REF!</v>
      </c>
      <c r="N23" s="4" t="e">
        <f>+$AC$24*#REF!/$Q$24</f>
        <v>#REF!</v>
      </c>
      <c r="O23" s="23"/>
      <c r="P23" s="19">
        <v>75</v>
      </c>
      <c r="Q23" s="19">
        <v>75</v>
      </c>
      <c r="R23" s="23"/>
      <c r="S23" s="4">
        <f>+Sheet1!D22*1000000</f>
        <v>2500000</v>
      </c>
      <c r="T23" s="4">
        <f>+Sheet1!E22*1000000</f>
        <v>2500000</v>
      </c>
      <c r="V23" s="4">
        <f t="shared" si="9"/>
        <v>813679.24528301891</v>
      </c>
      <c r="W23" s="4">
        <f t="shared" si="9"/>
        <v>813679.24528301891</v>
      </c>
      <c r="Y23" s="4">
        <f t="shared" si="15"/>
        <v>3313679.2452830188</v>
      </c>
      <c r="Z23" s="4">
        <f t="shared" si="15"/>
        <v>3313679.2452830188</v>
      </c>
      <c r="AA23" s="23"/>
      <c r="AB23" s="4">
        <f t="shared" si="10"/>
        <v>1698113.2075471699</v>
      </c>
      <c r="AC23" s="4">
        <f t="shared" si="10"/>
        <v>1698113.2075471699</v>
      </c>
      <c r="AE23" s="4">
        <f>+Sheet1!M22*1000000</f>
        <v>1750000</v>
      </c>
      <c r="AF23" s="4">
        <f>+Sheet1!N22*1000000</f>
        <v>1750000</v>
      </c>
      <c r="AH23" s="4">
        <f t="shared" si="11"/>
        <v>3448113.2075471701</v>
      </c>
      <c r="AI23" s="4">
        <f t="shared" si="11"/>
        <v>3448113.2075471701</v>
      </c>
      <c r="AJ23" s="23"/>
      <c r="AK23" s="39">
        <f t="shared" si="12"/>
        <v>-134433.96226415131</v>
      </c>
      <c r="AL23" s="39">
        <f t="shared" si="12"/>
        <v>-134433.96226415131</v>
      </c>
      <c r="AN23" s="39">
        <v>200000</v>
      </c>
      <c r="AO23" s="39">
        <v>200000</v>
      </c>
    </row>
    <row r="24" spans="2:41" x14ac:dyDescent="0.25">
      <c r="C24" s="23"/>
      <c r="E24" s="6" t="e">
        <f>SUM(D16:E23)</f>
        <v>#REF!</v>
      </c>
      <c r="H24" s="6" t="e">
        <f>+D18+E18+D16+E16</f>
        <v>#REF!</v>
      </c>
      <c r="K24" s="6" t="e">
        <f>SUM(J16:K23)</f>
        <v>#REF!</v>
      </c>
      <c r="L24" s="23"/>
      <c r="N24" s="6">
        <v>24000000</v>
      </c>
      <c r="O24" s="23"/>
      <c r="Q24" s="22">
        <f>SUM(P16:Q23)</f>
        <v>1060</v>
      </c>
      <c r="R24" s="23"/>
      <c r="T24" s="6">
        <f>SUM(S16:T23)</f>
        <v>45500000</v>
      </c>
      <c r="W24" s="6">
        <f>+S18+T18+S16+T16</f>
        <v>11500000</v>
      </c>
      <c r="Z24" s="6">
        <f>SUM(Y16:Z23)</f>
        <v>45500000</v>
      </c>
      <c r="AA24" s="23"/>
      <c r="AC24" s="6">
        <v>24000000</v>
      </c>
      <c r="AF24" s="6">
        <f>SUM(AE16:AF23)</f>
        <v>21000000</v>
      </c>
      <c r="AI24" s="6">
        <f>SUM(AH16:AI23)</f>
        <v>45000000.000000007</v>
      </c>
      <c r="AJ24" s="23"/>
      <c r="AL24" s="42">
        <f>SUM(AK16:AL23)</f>
        <v>500000</v>
      </c>
      <c r="AO24" s="42">
        <f>SUM(AN16:AO23)</f>
        <v>3600000</v>
      </c>
    </row>
    <row r="25" spans="2:41" x14ac:dyDescent="0.25">
      <c r="B25"/>
      <c r="D25" s="3"/>
      <c r="E25" s="3"/>
      <c r="G25" s="3"/>
      <c r="H25" s="3"/>
      <c r="J25" s="3"/>
      <c r="K25" s="3"/>
      <c r="M25" s="3"/>
      <c r="N25" s="3"/>
      <c r="P25"/>
      <c r="Q25"/>
      <c r="S25" s="3"/>
      <c r="T25" s="3"/>
      <c r="V25" s="3"/>
      <c r="W25" s="3"/>
      <c r="Y25" s="3"/>
      <c r="Z25" s="3"/>
      <c r="AB25" s="3"/>
      <c r="AC25" s="3"/>
      <c r="AE25" s="3"/>
      <c r="AF25" s="3"/>
      <c r="AH25" s="3"/>
      <c r="AI25" s="3"/>
      <c r="AK25" s="43"/>
      <c r="AL25" s="43"/>
      <c r="AN25" s="43"/>
      <c r="AO25" s="43"/>
    </row>
    <row r="26" spans="2:41" x14ac:dyDescent="0.25">
      <c r="B26"/>
      <c r="D26" s="3"/>
      <c r="E26" s="3"/>
      <c r="G26" s="3"/>
      <c r="H26" s="3"/>
      <c r="J26" s="3"/>
      <c r="K26" s="3"/>
      <c r="M26" s="3"/>
      <c r="N26" s="3"/>
      <c r="P26"/>
      <c r="Q26"/>
      <c r="S26" s="3"/>
      <c r="T26" s="3"/>
      <c r="V26" s="3"/>
      <c r="W26" s="3"/>
      <c r="Y26" s="3"/>
      <c r="Z26" s="3"/>
      <c r="AB26" s="3"/>
      <c r="AC26" s="3"/>
      <c r="AE26" s="3"/>
      <c r="AF26" s="3"/>
      <c r="AH26" s="3"/>
      <c r="AI26" s="3"/>
      <c r="AK26" s="43"/>
      <c r="AL26" s="43"/>
      <c r="AN26" s="43"/>
      <c r="AO26" s="43"/>
    </row>
    <row r="27" spans="2:41" x14ac:dyDescent="0.25">
      <c r="C27" s="46"/>
      <c r="D27" s="46"/>
      <c r="E27" s="46"/>
      <c r="F27" s="46"/>
      <c r="G27" s="46"/>
      <c r="H27" s="46"/>
      <c r="I27" s="46"/>
      <c r="J27" s="46"/>
      <c r="K27" s="46"/>
      <c r="L27" s="46"/>
      <c r="M27" s="46"/>
      <c r="N27" s="46"/>
      <c r="P27" s="46" t="s">
        <v>26</v>
      </c>
      <c r="Q27" s="46"/>
      <c r="R27" s="46"/>
      <c r="S27" s="46"/>
      <c r="T27" s="46"/>
      <c r="U27" s="46"/>
      <c r="V27" s="46"/>
      <c r="W27" s="46"/>
      <c r="X27" s="46"/>
      <c r="Y27" s="46"/>
      <c r="Z27" s="46"/>
      <c r="AA27" s="46"/>
      <c r="AB27" s="46"/>
      <c r="AC27" s="46"/>
      <c r="AD27" s="46"/>
      <c r="AE27" s="46"/>
      <c r="AF27" s="46"/>
      <c r="AG27" s="46"/>
      <c r="AH27" s="46"/>
      <c r="AI27" s="46"/>
      <c r="AJ27" s="46"/>
      <c r="AK27" s="46"/>
      <c r="AL27" s="46"/>
      <c r="AN27"/>
      <c r="AO27"/>
    </row>
    <row r="28" spans="2:41" x14ac:dyDescent="0.25">
      <c r="P28" s="47" t="s">
        <v>27</v>
      </c>
    </row>
    <row r="29" spans="2:41" x14ac:dyDescent="0.25">
      <c r="P29" s="47" t="s">
        <v>28</v>
      </c>
    </row>
    <row r="30" spans="2:41" x14ac:dyDescent="0.25">
      <c r="P30" s="47" t="s">
        <v>29</v>
      </c>
    </row>
    <row r="31" spans="2:41" x14ac:dyDescent="0.25">
      <c r="P31" s="47" t="s">
        <v>31</v>
      </c>
    </row>
    <row r="32" spans="2:41" x14ac:dyDescent="0.25">
      <c r="P32" s="47"/>
    </row>
    <row r="33" spans="2:41" s="21" customFormat="1" x14ac:dyDescent="0.25">
      <c r="B33" s="1"/>
      <c r="C33"/>
      <c r="D33" s="5"/>
      <c r="E33" s="5"/>
      <c r="F33"/>
      <c r="G33" s="5"/>
      <c r="H33" s="5"/>
      <c r="I33"/>
      <c r="J33" s="5"/>
      <c r="K33" s="5"/>
      <c r="L33"/>
      <c r="M33" s="5"/>
      <c r="N33" s="5"/>
      <c r="O33"/>
      <c r="P33" s="47"/>
      <c r="R33"/>
      <c r="S33" s="5"/>
      <c r="T33" s="5"/>
      <c r="U33"/>
      <c r="V33" s="5"/>
      <c r="W33" s="5"/>
      <c r="X33"/>
      <c r="Y33" s="5"/>
      <c r="Z33" s="5"/>
      <c r="AA33"/>
      <c r="AB33" s="5"/>
      <c r="AC33" s="5"/>
      <c r="AD33"/>
      <c r="AE33" s="5"/>
      <c r="AF33" s="5"/>
      <c r="AG33"/>
      <c r="AH33" s="5"/>
      <c r="AI33" s="5"/>
      <c r="AJ33"/>
      <c r="AK33" s="41"/>
      <c r="AL33" s="41"/>
      <c r="AM33"/>
      <c r="AN33" s="41"/>
      <c r="AO33" s="41"/>
    </row>
  </sheetData>
  <mergeCells count="6">
    <mergeCell ref="M2:N2"/>
    <mergeCell ref="P2:Q2"/>
    <mergeCell ref="M3:N3"/>
    <mergeCell ref="P3:Q3"/>
    <mergeCell ref="AB3:AC3"/>
    <mergeCell ref="AB2:A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DA5E-43B2-4D4F-A74D-FF72C7F9069C}">
  <dimension ref="B2:AF33"/>
  <sheetViews>
    <sheetView showGridLines="0" showZeros="0" zoomScaleNormal="100" workbookViewId="0">
      <selection activeCell="D4" sqref="D4:E11"/>
    </sheetView>
  </sheetViews>
  <sheetFormatPr defaultRowHeight="15" x14ac:dyDescent="0.25"/>
  <cols>
    <col min="1" max="1" width="2.5703125" customWidth="1"/>
    <col min="2" max="2" width="10.140625" style="1" customWidth="1"/>
    <col min="3" max="3" width="1.5703125" customWidth="1"/>
    <col min="4" max="4" width="9.28515625" style="21" customWidth="1"/>
    <col min="5" max="5" width="11.140625" style="21" customWidth="1"/>
    <col min="6" max="6" width="1.5703125" customWidth="1"/>
    <col min="7" max="7" width="9.28515625" style="21" customWidth="1"/>
    <col min="8" max="8" width="11.140625" style="21" customWidth="1"/>
    <col min="9" max="9" width="1.5703125" customWidth="1"/>
    <col min="10" max="10" width="11.140625" style="5" customWidth="1"/>
    <col min="11" max="11" width="12" style="5" customWidth="1"/>
    <col min="12" max="12" width="1.28515625" customWidth="1"/>
    <col min="13" max="14" width="13" style="5" customWidth="1"/>
    <col min="15" max="15" width="1.140625" customWidth="1"/>
    <col min="16" max="16" width="11" style="5" customWidth="1"/>
    <col min="17" max="17" width="12" style="5" customWidth="1"/>
    <col min="18" max="18" width="1.5703125" customWidth="1"/>
    <col min="19" max="19" width="11.140625" style="5" customWidth="1"/>
    <col min="20" max="20" width="12" style="5" customWidth="1"/>
    <col min="21" max="21" width="1.42578125" customWidth="1"/>
    <col min="22" max="22" width="11" style="5" customWidth="1"/>
    <col min="23" max="23" width="12" style="5" customWidth="1"/>
    <col min="24" max="24" width="1.42578125" customWidth="1"/>
    <col min="25" max="25" width="11.140625" style="5" customWidth="1"/>
    <col min="26" max="26" width="12" style="5" customWidth="1"/>
    <col min="27" max="27" width="1.5703125" customWidth="1"/>
    <col min="28" max="28" width="12.28515625" style="41" customWidth="1"/>
    <col min="29" max="29" width="12.85546875" style="41" customWidth="1"/>
    <col min="30" max="30" width="1.85546875" customWidth="1"/>
    <col min="31" max="31" width="12.28515625" style="41" customWidth="1"/>
    <col min="32" max="32" width="13.140625" style="41" customWidth="1"/>
  </cols>
  <sheetData>
    <row r="2" spans="2:32" x14ac:dyDescent="0.25">
      <c r="C2" s="23"/>
      <c r="D2" s="136" t="s">
        <v>19</v>
      </c>
      <c r="E2" s="136"/>
      <c r="F2" s="23"/>
      <c r="G2" s="136" t="s">
        <v>19</v>
      </c>
      <c r="H2" s="136"/>
      <c r="I2" s="23"/>
      <c r="J2" s="187" t="s">
        <v>38</v>
      </c>
      <c r="K2" s="187"/>
      <c r="L2" s="25"/>
      <c r="M2" s="188" t="s">
        <v>39</v>
      </c>
      <c r="N2" s="189"/>
      <c r="O2" s="25"/>
      <c r="P2" s="188" t="s">
        <v>0</v>
      </c>
      <c r="Q2" s="189"/>
      <c r="R2" s="23"/>
      <c r="S2" s="188" t="s">
        <v>20</v>
      </c>
      <c r="T2" s="189"/>
      <c r="U2" s="25"/>
      <c r="V2" s="187"/>
      <c r="W2" s="187"/>
      <c r="X2" s="25"/>
      <c r="Y2" s="187" t="s">
        <v>1</v>
      </c>
      <c r="Z2" s="187"/>
      <c r="AA2" s="23"/>
      <c r="AB2" s="190" t="s">
        <v>21</v>
      </c>
      <c r="AC2" s="190"/>
      <c r="AE2" s="190" t="s">
        <v>22</v>
      </c>
      <c r="AF2" s="190"/>
    </row>
    <row r="3" spans="2:32" x14ac:dyDescent="0.25">
      <c r="C3" s="23"/>
      <c r="D3" s="136" t="s">
        <v>6</v>
      </c>
      <c r="E3" s="136"/>
      <c r="F3" s="23"/>
      <c r="G3" s="136" t="s">
        <v>40</v>
      </c>
      <c r="H3" s="136"/>
      <c r="I3" s="23"/>
      <c r="J3" s="187" t="s">
        <v>5</v>
      </c>
      <c r="K3" s="187"/>
      <c r="L3" s="25"/>
      <c r="M3" s="188" t="s">
        <v>23</v>
      </c>
      <c r="N3" s="189"/>
      <c r="O3" s="25"/>
      <c r="P3" s="188" t="s">
        <v>5</v>
      </c>
      <c r="Q3" s="189"/>
      <c r="R3" s="23"/>
      <c r="S3" s="188" t="s">
        <v>24</v>
      </c>
      <c r="T3" s="189"/>
      <c r="U3" s="25"/>
      <c r="V3" s="187" t="s">
        <v>8</v>
      </c>
      <c r="W3" s="187"/>
      <c r="X3" s="25"/>
      <c r="Y3" s="187" t="s">
        <v>9</v>
      </c>
      <c r="Z3" s="187"/>
      <c r="AA3" s="23"/>
      <c r="AB3" s="190" t="s">
        <v>10</v>
      </c>
      <c r="AC3" s="190"/>
      <c r="AE3" s="190" t="s">
        <v>10</v>
      </c>
      <c r="AF3" s="190"/>
    </row>
    <row r="4" spans="2:32" x14ac:dyDescent="0.25">
      <c r="B4" s="2" t="s">
        <v>11</v>
      </c>
      <c r="C4" s="23"/>
      <c r="D4" s="19">
        <v>25</v>
      </c>
      <c r="E4" s="19">
        <v>75</v>
      </c>
      <c r="F4" s="23"/>
      <c r="G4" s="19">
        <v>85</v>
      </c>
      <c r="H4" s="19">
        <v>85</v>
      </c>
      <c r="I4" s="23"/>
      <c r="J4" s="4">
        <f>+G4*34000</f>
        <v>2890000</v>
      </c>
      <c r="K4" s="4">
        <f t="shared" ref="K4:K11" si="0">+H4*34000</f>
        <v>2890000</v>
      </c>
      <c r="M4" s="4">
        <f t="shared" ref="M4:N11" si="1">+$N$12*D4/$E$12</f>
        <v>148847.92626728112</v>
      </c>
      <c r="N4" s="4">
        <f t="shared" si="1"/>
        <v>446543.77880184329</v>
      </c>
      <c r="P4" s="4">
        <f>+J4+M4</f>
        <v>3038847.9262672812</v>
      </c>
      <c r="Q4" s="4">
        <f>+K4+N4</f>
        <v>3336543.7788018435</v>
      </c>
      <c r="R4" s="23"/>
      <c r="S4" s="4">
        <f t="shared" ref="S4:T11" si="2">+$T$12*D4/$E$12</f>
        <v>322580.6451612903</v>
      </c>
      <c r="T4" s="4">
        <f t="shared" si="2"/>
        <v>967741.93548387091</v>
      </c>
      <c r="V4" s="4">
        <f>+Sheet1!M4*1000000</f>
        <v>0</v>
      </c>
      <c r="W4" s="4">
        <f>+Sheet1!N4*1000000</f>
        <v>875000</v>
      </c>
      <c r="Y4" s="4">
        <f>+S4+V4</f>
        <v>322580.6451612903</v>
      </c>
      <c r="Z4" s="4">
        <f t="shared" ref="Z4:Z11" si="3">+T4+W4</f>
        <v>1842741.935483871</v>
      </c>
      <c r="AA4" s="23"/>
      <c r="AB4" s="39">
        <f t="shared" ref="AB4:AC11" si="4">+P4-Y4</f>
        <v>2716267.281105991</v>
      </c>
      <c r="AC4" s="39">
        <f t="shared" si="4"/>
        <v>1493801.8433179725</v>
      </c>
      <c r="AE4" s="39">
        <v>2500000</v>
      </c>
      <c r="AF4" s="39">
        <v>750000</v>
      </c>
    </row>
    <row r="5" spans="2:32" x14ac:dyDescent="0.25">
      <c r="B5" s="2" t="s">
        <v>12</v>
      </c>
      <c r="C5" s="23"/>
      <c r="D5" s="19">
        <v>95</v>
      </c>
      <c r="E5" s="19">
        <v>95</v>
      </c>
      <c r="F5" s="23"/>
      <c r="G5" s="19">
        <v>95</v>
      </c>
      <c r="H5" s="19">
        <v>95</v>
      </c>
      <c r="I5" s="23"/>
      <c r="J5" s="4">
        <f t="shared" ref="J5:J11" si="5">+G5*34000</f>
        <v>3230000</v>
      </c>
      <c r="K5" s="4">
        <f t="shared" si="0"/>
        <v>3230000</v>
      </c>
      <c r="M5" s="4">
        <f t="shared" si="1"/>
        <v>565622.11981566821</v>
      </c>
      <c r="N5" s="4">
        <f t="shared" si="1"/>
        <v>565622.11981566821</v>
      </c>
      <c r="P5" s="4">
        <f>+J5+M5</f>
        <v>3795622.1198156681</v>
      </c>
      <c r="Q5" s="4">
        <f>+K5+N5</f>
        <v>3795622.1198156681</v>
      </c>
      <c r="R5" s="23"/>
      <c r="S5" s="4">
        <f t="shared" si="2"/>
        <v>1225806.4516129033</v>
      </c>
      <c r="T5" s="4">
        <f t="shared" si="2"/>
        <v>1225806.4516129033</v>
      </c>
      <c r="V5" s="4">
        <f>+Sheet1!M5*1000000</f>
        <v>1750000</v>
      </c>
      <c r="W5" s="4">
        <f>+Sheet1!N5*1000000</f>
        <v>1750000</v>
      </c>
      <c r="Y5" s="4">
        <f t="shared" ref="Y5:Y11" si="6">+S5+V5</f>
        <v>2975806.4516129033</v>
      </c>
      <c r="Z5" s="4">
        <f t="shared" si="3"/>
        <v>2975806.4516129033</v>
      </c>
      <c r="AA5" s="23"/>
      <c r="AB5" s="39">
        <f t="shared" si="4"/>
        <v>819815.66820276482</v>
      </c>
      <c r="AC5" s="39">
        <f t="shared" si="4"/>
        <v>819815.66820276482</v>
      </c>
      <c r="AE5" s="39">
        <v>350000</v>
      </c>
      <c r="AF5" s="39">
        <v>350000</v>
      </c>
    </row>
    <row r="6" spans="2:32" x14ac:dyDescent="0.25">
      <c r="B6" s="2" t="s">
        <v>13</v>
      </c>
      <c r="C6" s="23"/>
      <c r="D6" s="20"/>
      <c r="E6" s="20"/>
      <c r="F6" s="23"/>
      <c r="G6" s="20">
        <v>95</v>
      </c>
      <c r="H6" s="20">
        <v>95</v>
      </c>
      <c r="I6" s="23"/>
      <c r="J6" s="7">
        <f t="shared" si="5"/>
        <v>3230000</v>
      </c>
      <c r="K6" s="7">
        <f t="shared" si="0"/>
        <v>3230000</v>
      </c>
      <c r="M6" s="7">
        <f t="shared" si="1"/>
        <v>0</v>
      </c>
      <c r="N6" s="7">
        <f t="shared" si="1"/>
        <v>0</v>
      </c>
      <c r="P6" s="7"/>
      <c r="Q6" s="7"/>
      <c r="R6" s="23"/>
      <c r="S6" s="7">
        <f t="shared" si="2"/>
        <v>0</v>
      </c>
      <c r="T6" s="7">
        <f t="shared" si="2"/>
        <v>0</v>
      </c>
      <c r="V6" s="7">
        <f>+Sheet1!M6*1000000</f>
        <v>0</v>
      </c>
      <c r="W6" s="7">
        <f>+Sheet1!N6*1000000</f>
        <v>0</v>
      </c>
      <c r="Y6" s="7">
        <f t="shared" si="6"/>
        <v>0</v>
      </c>
      <c r="Z6" s="7">
        <f t="shared" si="3"/>
        <v>0</v>
      </c>
      <c r="AA6" s="23"/>
      <c r="AB6" s="40">
        <f t="shared" si="4"/>
        <v>0</v>
      </c>
      <c r="AC6" s="40">
        <f t="shared" si="4"/>
        <v>0</v>
      </c>
      <c r="AE6" s="40">
        <f>11000000*'Sheet1 (2)'!AE6</f>
        <v>0</v>
      </c>
      <c r="AF6" s="40">
        <f>11000000*'Sheet1 (2)'!AF6</f>
        <v>0</v>
      </c>
    </row>
    <row r="7" spans="2:32" x14ac:dyDescent="0.25">
      <c r="B7" s="2" t="s">
        <v>14</v>
      </c>
      <c r="C7" s="23"/>
      <c r="D7" s="19">
        <v>95</v>
      </c>
      <c r="E7" s="19">
        <v>95</v>
      </c>
      <c r="F7" s="23"/>
      <c r="G7" s="19">
        <v>95</v>
      </c>
      <c r="H7" s="19">
        <v>95</v>
      </c>
      <c r="I7" s="23"/>
      <c r="J7" s="4">
        <f t="shared" si="5"/>
        <v>3230000</v>
      </c>
      <c r="K7" s="4">
        <f t="shared" si="0"/>
        <v>3230000</v>
      </c>
      <c r="M7" s="4">
        <f t="shared" si="1"/>
        <v>565622.11981566821</v>
      </c>
      <c r="N7" s="4">
        <f t="shared" si="1"/>
        <v>565622.11981566821</v>
      </c>
      <c r="P7" s="4">
        <f t="shared" ref="P7:Q11" si="7">+J7+M7</f>
        <v>3795622.1198156681</v>
      </c>
      <c r="Q7" s="4">
        <f t="shared" si="7"/>
        <v>3795622.1198156681</v>
      </c>
      <c r="R7" s="23"/>
      <c r="S7" s="4">
        <f t="shared" si="2"/>
        <v>1225806.4516129033</v>
      </c>
      <c r="T7" s="4">
        <f t="shared" si="2"/>
        <v>1225806.4516129033</v>
      </c>
      <c r="V7" s="4">
        <f>+Sheet1!M7*1000000</f>
        <v>1750000</v>
      </c>
      <c r="W7" s="4">
        <f>+Sheet1!N7*1000000</f>
        <v>1750000</v>
      </c>
      <c r="Y7" s="4">
        <f t="shared" si="6"/>
        <v>2975806.4516129033</v>
      </c>
      <c r="Z7" s="4">
        <f t="shared" si="3"/>
        <v>2975806.4516129033</v>
      </c>
      <c r="AA7" s="23"/>
      <c r="AB7" s="39">
        <f t="shared" si="4"/>
        <v>819815.66820276482</v>
      </c>
      <c r="AC7" s="39">
        <f t="shared" si="4"/>
        <v>819815.66820276482</v>
      </c>
      <c r="AE7" s="39">
        <v>350000</v>
      </c>
      <c r="AF7" s="39">
        <v>350000</v>
      </c>
    </row>
    <row r="8" spans="2:32" x14ac:dyDescent="0.25">
      <c r="B8" s="2" t="s">
        <v>15</v>
      </c>
      <c r="C8" s="23"/>
      <c r="D8" s="19">
        <v>95</v>
      </c>
      <c r="E8" s="19">
        <v>95</v>
      </c>
      <c r="F8" s="23"/>
      <c r="G8" s="19">
        <v>95</v>
      </c>
      <c r="H8" s="19">
        <v>95</v>
      </c>
      <c r="I8" s="23"/>
      <c r="J8" s="4">
        <f t="shared" si="5"/>
        <v>3230000</v>
      </c>
      <c r="K8" s="4">
        <f t="shared" si="0"/>
        <v>3230000</v>
      </c>
      <c r="M8" s="4">
        <f t="shared" si="1"/>
        <v>565622.11981566821</v>
      </c>
      <c r="N8" s="4">
        <f t="shared" si="1"/>
        <v>565622.11981566821</v>
      </c>
      <c r="P8" s="4">
        <f t="shared" si="7"/>
        <v>3795622.1198156681</v>
      </c>
      <c r="Q8" s="4">
        <f t="shared" si="7"/>
        <v>3795622.1198156681</v>
      </c>
      <c r="R8" s="23"/>
      <c r="S8" s="4">
        <f t="shared" si="2"/>
        <v>1225806.4516129033</v>
      </c>
      <c r="T8" s="4">
        <f t="shared" si="2"/>
        <v>1225806.4516129033</v>
      </c>
      <c r="V8" s="4">
        <f>+Sheet1!M8*1000000</f>
        <v>1750000</v>
      </c>
      <c r="W8" s="4">
        <f>+Sheet1!N8*1000000</f>
        <v>1750000</v>
      </c>
      <c r="Y8" s="4">
        <f t="shared" si="6"/>
        <v>2975806.4516129033</v>
      </c>
      <c r="Z8" s="4">
        <f t="shared" si="3"/>
        <v>2975806.4516129033</v>
      </c>
      <c r="AA8" s="23"/>
      <c r="AB8" s="39">
        <f t="shared" si="4"/>
        <v>819815.66820276482</v>
      </c>
      <c r="AC8" s="39">
        <f t="shared" si="4"/>
        <v>819815.66820276482</v>
      </c>
      <c r="AE8" s="39">
        <v>350000</v>
      </c>
      <c r="AF8" s="39">
        <v>350000</v>
      </c>
    </row>
    <row r="9" spans="2:32" x14ac:dyDescent="0.25">
      <c r="B9" s="2" t="s">
        <v>16</v>
      </c>
      <c r="C9" s="23"/>
      <c r="D9" s="19">
        <v>95</v>
      </c>
      <c r="E9" s="19">
        <v>95</v>
      </c>
      <c r="F9" s="23"/>
      <c r="G9" s="19">
        <v>95</v>
      </c>
      <c r="H9" s="19">
        <v>95</v>
      </c>
      <c r="I9" s="23"/>
      <c r="J9" s="4">
        <f t="shared" si="5"/>
        <v>3230000</v>
      </c>
      <c r="K9" s="4">
        <f t="shared" si="0"/>
        <v>3230000</v>
      </c>
      <c r="M9" s="4">
        <f t="shared" si="1"/>
        <v>565622.11981566821</v>
      </c>
      <c r="N9" s="4">
        <f t="shared" si="1"/>
        <v>565622.11981566821</v>
      </c>
      <c r="P9" s="4">
        <f t="shared" si="7"/>
        <v>3795622.1198156681</v>
      </c>
      <c r="Q9" s="4">
        <f t="shared" si="7"/>
        <v>3795622.1198156681</v>
      </c>
      <c r="R9" s="23"/>
      <c r="S9" s="4">
        <f t="shared" si="2"/>
        <v>1225806.4516129033</v>
      </c>
      <c r="T9" s="4">
        <f t="shared" si="2"/>
        <v>1225806.4516129033</v>
      </c>
      <c r="V9" s="4">
        <f>+Sheet1!M9*1000000</f>
        <v>1750000</v>
      </c>
      <c r="W9" s="4">
        <f>+Sheet1!N9*1000000</f>
        <v>1750000</v>
      </c>
      <c r="Y9" s="4">
        <f t="shared" si="6"/>
        <v>2975806.4516129033</v>
      </c>
      <c r="Z9" s="4">
        <f t="shared" si="3"/>
        <v>2975806.4516129033</v>
      </c>
      <c r="AA9" s="23"/>
      <c r="AB9" s="39">
        <f t="shared" si="4"/>
        <v>819815.66820276482</v>
      </c>
      <c r="AC9" s="39">
        <f t="shared" si="4"/>
        <v>819815.66820276482</v>
      </c>
      <c r="AE9" s="39">
        <v>350000</v>
      </c>
      <c r="AF9" s="39">
        <v>350000</v>
      </c>
    </row>
    <row r="10" spans="2:32" x14ac:dyDescent="0.25">
      <c r="B10" s="2" t="s">
        <v>17</v>
      </c>
      <c r="C10" s="23"/>
      <c r="D10" s="19">
        <v>75</v>
      </c>
      <c r="E10" s="19">
        <v>75</v>
      </c>
      <c r="F10" s="23"/>
      <c r="G10" s="19">
        <v>75</v>
      </c>
      <c r="H10" s="19">
        <v>75</v>
      </c>
      <c r="I10" s="23"/>
      <c r="J10" s="4">
        <f t="shared" si="5"/>
        <v>2550000</v>
      </c>
      <c r="K10" s="4">
        <f t="shared" si="0"/>
        <v>2550000</v>
      </c>
      <c r="M10" s="4">
        <f t="shared" si="1"/>
        <v>446543.77880184329</v>
      </c>
      <c r="N10" s="4">
        <f t="shared" si="1"/>
        <v>446543.77880184329</v>
      </c>
      <c r="P10" s="4">
        <f t="shared" si="7"/>
        <v>2996543.7788018435</v>
      </c>
      <c r="Q10" s="4">
        <f t="shared" si="7"/>
        <v>2996543.7788018435</v>
      </c>
      <c r="R10" s="23"/>
      <c r="S10" s="4">
        <f t="shared" si="2"/>
        <v>967741.93548387091</v>
      </c>
      <c r="T10" s="4">
        <f t="shared" si="2"/>
        <v>967741.93548387091</v>
      </c>
      <c r="V10" s="4">
        <f>+Sheet1!M10*1000000</f>
        <v>1750000</v>
      </c>
      <c r="W10" s="4">
        <f>+Sheet1!N10*1000000</f>
        <v>1750000</v>
      </c>
      <c r="Y10" s="4">
        <f t="shared" si="6"/>
        <v>2717741.935483871</v>
      </c>
      <c r="Z10" s="4">
        <f t="shared" si="3"/>
        <v>2717741.935483871</v>
      </c>
      <c r="AA10" s="23"/>
      <c r="AB10" s="39">
        <f t="shared" si="4"/>
        <v>278801.8433179725</v>
      </c>
      <c r="AC10" s="39">
        <f t="shared" si="4"/>
        <v>278801.8433179725</v>
      </c>
      <c r="AE10" s="39">
        <v>200000</v>
      </c>
      <c r="AF10" s="39">
        <v>200000</v>
      </c>
    </row>
    <row r="11" spans="2:32" x14ac:dyDescent="0.25">
      <c r="B11" s="2" t="s">
        <v>18</v>
      </c>
      <c r="C11" s="23"/>
      <c r="D11" s="19"/>
      <c r="E11" s="19">
        <v>75</v>
      </c>
      <c r="F11" s="23"/>
      <c r="G11" s="19"/>
      <c r="H11" s="19">
        <v>75</v>
      </c>
      <c r="I11" s="23"/>
      <c r="J11" s="4">
        <f t="shared" si="5"/>
        <v>0</v>
      </c>
      <c r="K11" s="4">
        <f t="shared" si="0"/>
        <v>2550000</v>
      </c>
      <c r="M11" s="4">
        <f t="shared" si="1"/>
        <v>0</v>
      </c>
      <c r="N11" s="4">
        <f t="shared" si="1"/>
        <v>446543.77880184329</v>
      </c>
      <c r="P11" s="4">
        <f t="shared" si="7"/>
        <v>0</v>
      </c>
      <c r="Q11" s="4">
        <f t="shared" si="7"/>
        <v>2996543.7788018435</v>
      </c>
      <c r="R11" s="23"/>
      <c r="S11" s="4">
        <f t="shared" si="2"/>
        <v>0</v>
      </c>
      <c r="T11" s="4">
        <f t="shared" si="2"/>
        <v>967741.93548387091</v>
      </c>
      <c r="V11" s="4">
        <f>+Sheet1!M11*1000000</f>
        <v>0</v>
      </c>
      <c r="W11" s="4">
        <f>+Sheet1!N11*1000000</f>
        <v>875000</v>
      </c>
      <c r="Y11" s="4">
        <f t="shared" si="6"/>
        <v>0</v>
      </c>
      <c r="Z11" s="4">
        <f t="shared" si="3"/>
        <v>1842741.935483871</v>
      </c>
      <c r="AA11" s="23"/>
      <c r="AB11" s="39">
        <f t="shared" si="4"/>
        <v>0</v>
      </c>
      <c r="AC11" s="39">
        <f t="shared" si="4"/>
        <v>1153801.8433179725</v>
      </c>
      <c r="AE11" s="39">
        <f>11000000*'Sheet1 (2)'!AE11</f>
        <v>0</v>
      </c>
      <c r="AF11" s="39">
        <v>550000</v>
      </c>
    </row>
    <row r="12" spans="2:32" x14ac:dyDescent="0.25">
      <c r="C12" s="23"/>
      <c r="E12" s="22">
        <f>SUM(D4:E11)</f>
        <v>1085</v>
      </c>
      <c r="F12" s="23"/>
      <c r="H12" s="22">
        <f>SUM(G4:H11)</f>
        <v>1345</v>
      </c>
      <c r="I12" s="23"/>
      <c r="K12" s="6">
        <f>SUM(J4:K11)</f>
        <v>45730000</v>
      </c>
      <c r="N12" s="6">
        <f>+J6+K6</f>
        <v>6460000</v>
      </c>
      <c r="Q12" s="6">
        <f>SUM(P4:Q11)</f>
        <v>45730000.000000007</v>
      </c>
      <c r="R12" s="23"/>
      <c r="T12" s="6">
        <v>14000000</v>
      </c>
      <c r="W12" s="6">
        <f>SUM(V4:W11)</f>
        <v>19250000</v>
      </c>
      <c r="Z12" s="6">
        <f>SUM(Y4:Z11)</f>
        <v>33250000.000000007</v>
      </c>
      <c r="AA12" s="23"/>
      <c r="AC12" s="42">
        <f>SUM(AB4:AC11)</f>
        <v>12480000.000000004</v>
      </c>
      <c r="AF12" s="42">
        <f>SUM(AE4:AF11)</f>
        <v>7000000</v>
      </c>
    </row>
    <row r="13" spans="2:32" x14ac:dyDescent="0.25">
      <c r="B13"/>
      <c r="D13"/>
      <c r="E13"/>
      <c r="G13"/>
      <c r="H13"/>
      <c r="J13"/>
      <c r="K13"/>
      <c r="M13"/>
      <c r="N13"/>
      <c r="P13"/>
      <c r="Q13"/>
      <c r="S13"/>
      <c r="T13"/>
      <c r="V13"/>
      <c r="W13"/>
      <c r="Y13"/>
      <c r="Z13"/>
      <c r="AB13"/>
      <c r="AC13"/>
      <c r="AE13"/>
      <c r="AF13"/>
    </row>
    <row r="14" spans="2:32" x14ac:dyDescent="0.25">
      <c r="C14" s="23"/>
      <c r="D14" s="136" t="s">
        <v>25</v>
      </c>
      <c r="E14" s="136"/>
      <c r="F14" s="23"/>
      <c r="G14" s="136" t="s">
        <v>25</v>
      </c>
      <c r="H14" s="136"/>
      <c r="I14" s="23"/>
      <c r="J14" s="187"/>
      <c r="K14" s="187"/>
      <c r="L14" s="25"/>
      <c r="M14" s="188" t="s">
        <v>20</v>
      </c>
      <c r="N14" s="189"/>
      <c r="O14" s="25"/>
      <c r="P14" s="188" t="s">
        <v>0</v>
      </c>
      <c r="Q14" s="189"/>
      <c r="R14" s="23"/>
      <c r="S14" s="188" t="s">
        <v>20</v>
      </c>
      <c r="T14" s="189"/>
      <c r="U14" s="25"/>
      <c r="V14" s="187"/>
      <c r="W14" s="187"/>
      <c r="X14" s="25"/>
      <c r="Y14" s="187" t="s">
        <v>1</v>
      </c>
      <c r="Z14" s="187"/>
      <c r="AA14" s="23"/>
      <c r="AB14" s="190" t="s">
        <v>21</v>
      </c>
      <c r="AC14" s="190"/>
      <c r="AE14" s="190" t="s">
        <v>22</v>
      </c>
      <c r="AF14" s="190"/>
    </row>
    <row r="15" spans="2:32" x14ac:dyDescent="0.25">
      <c r="C15" s="23"/>
      <c r="D15" s="136" t="s">
        <v>6</v>
      </c>
      <c r="E15" s="136"/>
      <c r="F15" s="23"/>
      <c r="G15" s="136" t="s">
        <v>6</v>
      </c>
      <c r="H15" s="136"/>
      <c r="I15" s="23"/>
      <c r="J15" s="187" t="s">
        <v>5</v>
      </c>
      <c r="K15" s="187"/>
      <c r="L15" s="25"/>
      <c r="M15" s="188" t="s">
        <v>23</v>
      </c>
      <c r="N15" s="189"/>
      <c r="O15" s="25"/>
      <c r="P15" s="188" t="s">
        <v>5</v>
      </c>
      <c r="Q15" s="189"/>
      <c r="R15" s="23"/>
      <c r="S15" s="188" t="s">
        <v>24</v>
      </c>
      <c r="T15" s="189"/>
      <c r="U15" s="25"/>
      <c r="V15" s="187" t="s">
        <v>8</v>
      </c>
      <c r="W15" s="187"/>
      <c r="X15" s="25"/>
      <c r="Y15" s="187" t="s">
        <v>9</v>
      </c>
      <c r="Z15" s="187"/>
      <c r="AA15" s="23"/>
      <c r="AB15" s="190" t="s">
        <v>10</v>
      </c>
      <c r="AC15" s="190"/>
      <c r="AE15" s="190" t="s">
        <v>10</v>
      </c>
      <c r="AF15" s="190"/>
    </row>
    <row r="16" spans="2:32" x14ac:dyDescent="0.25">
      <c r="B16" s="2" t="s">
        <v>11</v>
      </c>
      <c r="C16" s="23"/>
      <c r="D16" s="20"/>
      <c r="E16" s="20"/>
      <c r="F16" s="23"/>
      <c r="G16" s="20"/>
      <c r="H16" s="20"/>
      <c r="I16" s="23"/>
      <c r="J16" s="7">
        <f>+Sheet1!D15*1000000</f>
        <v>2750000</v>
      </c>
      <c r="K16" s="7">
        <f>+Sheet1!E15*1000000</f>
        <v>2750000</v>
      </c>
      <c r="M16" s="7">
        <f>+$N$24*D16/$E$24</f>
        <v>0</v>
      </c>
      <c r="N16" s="7">
        <f t="shared" ref="N16:N23" si="8">+$N$24*E16/$E$24</f>
        <v>0</v>
      </c>
      <c r="P16" s="7"/>
      <c r="Q16" s="7"/>
      <c r="R16" s="23"/>
      <c r="S16" s="7">
        <f t="shared" ref="S16:T23" si="9">+$T$24*D16/$E$24</f>
        <v>0</v>
      </c>
      <c r="T16" s="7">
        <f t="shared" si="9"/>
        <v>0</v>
      </c>
      <c r="V16" s="7">
        <f>+Sheet1!M15*1000000</f>
        <v>0</v>
      </c>
      <c r="W16" s="7">
        <f>+Sheet1!N15*1000000</f>
        <v>0</v>
      </c>
      <c r="Y16" s="7">
        <f>+S16+V16</f>
        <v>0</v>
      </c>
      <c r="Z16" s="7">
        <f t="shared" ref="Z16:Z23" si="10">+T16+W16</f>
        <v>0</v>
      </c>
      <c r="AA16" s="23"/>
      <c r="AB16" s="40">
        <f t="shared" ref="AB16:AC23" si="11">+P16-Y16</f>
        <v>0</v>
      </c>
      <c r="AC16" s="40">
        <f t="shared" si="11"/>
        <v>0</v>
      </c>
      <c r="AE16" s="40"/>
      <c r="AF16" s="40"/>
    </row>
    <row r="17" spans="2:32" x14ac:dyDescent="0.25">
      <c r="B17" s="2" t="s">
        <v>12</v>
      </c>
      <c r="C17" s="23"/>
      <c r="D17" s="19">
        <v>95</v>
      </c>
      <c r="E17" s="19">
        <v>95</v>
      </c>
      <c r="F17" s="23"/>
      <c r="G17" s="19">
        <v>95</v>
      </c>
      <c r="H17" s="19">
        <v>95</v>
      </c>
      <c r="I17" s="23"/>
      <c r="J17" s="4">
        <f>+Sheet1!D16*1000000</f>
        <v>3000000</v>
      </c>
      <c r="K17" s="4">
        <f>+Sheet1!E16*1000000</f>
        <v>3000000</v>
      </c>
      <c r="M17" s="4">
        <f t="shared" ref="M17:M23" si="12">+$N$24*D17/$E$24</f>
        <v>1030660.3773584906</v>
      </c>
      <c r="N17" s="4">
        <f t="shared" si="8"/>
        <v>1030660.3773584906</v>
      </c>
      <c r="P17" s="4">
        <f>+J17+M17</f>
        <v>4030660.3773584906</v>
      </c>
      <c r="Q17" s="4">
        <f>+K17+N17</f>
        <v>4030660.3773584906</v>
      </c>
      <c r="R17" s="23"/>
      <c r="S17" s="4">
        <f t="shared" si="9"/>
        <v>2150943.3962264149</v>
      </c>
      <c r="T17" s="4">
        <f t="shared" si="9"/>
        <v>2150943.3962264149</v>
      </c>
      <c r="V17" s="4">
        <f>+Sheet1!M16*1000000</f>
        <v>1750000</v>
      </c>
      <c r="W17" s="4">
        <f>+Sheet1!N16*1000000</f>
        <v>1750000</v>
      </c>
      <c r="Y17" s="4">
        <f t="shared" ref="Y17:Y23" si="13">+S17+V17</f>
        <v>3900943.3962264149</v>
      </c>
      <c r="Z17" s="4">
        <f t="shared" si="10"/>
        <v>3900943.3962264149</v>
      </c>
      <c r="AA17" s="23"/>
      <c r="AB17" s="39">
        <f t="shared" si="11"/>
        <v>129716.98113207566</v>
      </c>
      <c r="AC17" s="39">
        <f t="shared" si="11"/>
        <v>129716.98113207566</v>
      </c>
      <c r="AE17" s="39">
        <v>350000</v>
      </c>
      <c r="AF17" s="39">
        <v>350000</v>
      </c>
    </row>
    <row r="18" spans="2:32" x14ac:dyDescent="0.25">
      <c r="B18" s="2" t="s">
        <v>13</v>
      </c>
      <c r="C18" s="23"/>
      <c r="D18" s="20"/>
      <c r="E18" s="20"/>
      <c r="F18" s="23"/>
      <c r="G18" s="20"/>
      <c r="H18" s="20"/>
      <c r="I18" s="23"/>
      <c r="J18" s="7">
        <f>+Sheet1!D17*1000000</f>
        <v>3000000</v>
      </c>
      <c r="K18" s="7">
        <f>+Sheet1!E17*1000000</f>
        <v>3000000</v>
      </c>
      <c r="M18" s="7">
        <f t="shared" si="12"/>
        <v>0</v>
      </c>
      <c r="N18" s="7">
        <f t="shared" si="8"/>
        <v>0</v>
      </c>
      <c r="P18" s="7"/>
      <c r="Q18" s="7"/>
      <c r="R18" s="23"/>
      <c r="S18" s="7">
        <f t="shared" si="9"/>
        <v>0</v>
      </c>
      <c r="T18" s="7">
        <f t="shared" si="9"/>
        <v>0</v>
      </c>
      <c r="V18" s="7">
        <f>+Sheet1!M17*1000000</f>
        <v>0</v>
      </c>
      <c r="W18" s="7">
        <f>+Sheet1!N17*1000000</f>
        <v>0</v>
      </c>
      <c r="Y18" s="7">
        <f t="shared" si="13"/>
        <v>0</v>
      </c>
      <c r="Z18" s="7">
        <f t="shared" si="10"/>
        <v>0</v>
      </c>
      <c r="AA18" s="23"/>
      <c r="AB18" s="40">
        <f t="shared" si="11"/>
        <v>0</v>
      </c>
      <c r="AC18" s="40">
        <f t="shared" si="11"/>
        <v>0</v>
      </c>
      <c r="AE18" s="40">
        <f>11000000*'Sheet1 (2)'!AE18</f>
        <v>0</v>
      </c>
      <c r="AF18" s="40">
        <f>11000000*'Sheet1 (2)'!AF18</f>
        <v>0</v>
      </c>
    </row>
    <row r="19" spans="2:32" x14ac:dyDescent="0.25">
      <c r="B19" s="2" t="s">
        <v>14</v>
      </c>
      <c r="C19" s="23"/>
      <c r="D19" s="19">
        <v>95</v>
      </c>
      <c r="E19" s="19">
        <v>95</v>
      </c>
      <c r="F19" s="23"/>
      <c r="G19" s="19">
        <v>95</v>
      </c>
      <c r="H19" s="19">
        <v>95</v>
      </c>
      <c r="I19" s="23"/>
      <c r="J19" s="4">
        <f>+Sheet1!D18*1000000</f>
        <v>3000000</v>
      </c>
      <c r="K19" s="4">
        <f>+Sheet1!E18*1000000</f>
        <v>3000000</v>
      </c>
      <c r="M19" s="4">
        <f t="shared" si="12"/>
        <v>1030660.3773584906</v>
      </c>
      <c r="N19" s="4">
        <f t="shared" si="8"/>
        <v>1030660.3773584906</v>
      </c>
      <c r="P19" s="4">
        <f t="shared" ref="P19:Q23" si="14">+J19+M19</f>
        <v>4030660.3773584906</v>
      </c>
      <c r="Q19" s="4">
        <f t="shared" si="14"/>
        <v>4030660.3773584906</v>
      </c>
      <c r="R19" s="23"/>
      <c r="S19" s="4">
        <f t="shared" si="9"/>
        <v>2150943.3962264149</v>
      </c>
      <c r="T19" s="4">
        <f t="shared" si="9"/>
        <v>2150943.3962264149</v>
      </c>
      <c r="V19" s="4">
        <f>+Sheet1!M18*1000000</f>
        <v>1750000</v>
      </c>
      <c r="W19" s="4">
        <f>+Sheet1!N18*1000000</f>
        <v>1750000</v>
      </c>
      <c r="Y19" s="4">
        <f t="shared" si="13"/>
        <v>3900943.3962264149</v>
      </c>
      <c r="Z19" s="4">
        <f t="shared" si="10"/>
        <v>3900943.3962264149</v>
      </c>
      <c r="AA19" s="23"/>
      <c r="AB19" s="39">
        <f t="shared" si="11"/>
        <v>129716.98113207566</v>
      </c>
      <c r="AC19" s="39">
        <f t="shared" si="11"/>
        <v>129716.98113207566</v>
      </c>
      <c r="AE19" s="39">
        <v>350000</v>
      </c>
      <c r="AF19" s="39">
        <v>350000</v>
      </c>
    </row>
    <row r="20" spans="2:32" x14ac:dyDescent="0.25">
      <c r="B20" s="2" t="s">
        <v>15</v>
      </c>
      <c r="C20" s="23"/>
      <c r="D20" s="19">
        <v>95</v>
      </c>
      <c r="E20" s="19">
        <v>95</v>
      </c>
      <c r="F20" s="23"/>
      <c r="G20" s="19">
        <v>95</v>
      </c>
      <c r="H20" s="19">
        <v>95</v>
      </c>
      <c r="I20" s="23"/>
      <c r="J20" s="4">
        <f>+Sheet1!D19*1000000</f>
        <v>3000000</v>
      </c>
      <c r="K20" s="4">
        <f>+Sheet1!E19*1000000</f>
        <v>3000000</v>
      </c>
      <c r="M20" s="4">
        <f t="shared" si="12"/>
        <v>1030660.3773584906</v>
      </c>
      <c r="N20" s="4">
        <f t="shared" si="8"/>
        <v>1030660.3773584906</v>
      </c>
      <c r="P20" s="4">
        <f t="shared" si="14"/>
        <v>4030660.3773584906</v>
      </c>
      <c r="Q20" s="4">
        <f t="shared" si="14"/>
        <v>4030660.3773584906</v>
      </c>
      <c r="R20" s="23"/>
      <c r="S20" s="4">
        <f t="shared" si="9"/>
        <v>2150943.3962264149</v>
      </c>
      <c r="T20" s="4">
        <f t="shared" si="9"/>
        <v>2150943.3962264149</v>
      </c>
      <c r="V20" s="4">
        <f>+Sheet1!M19*1000000</f>
        <v>1750000</v>
      </c>
      <c r="W20" s="4">
        <f>+Sheet1!N19*1000000</f>
        <v>1750000</v>
      </c>
      <c r="Y20" s="4">
        <f t="shared" si="13"/>
        <v>3900943.3962264149</v>
      </c>
      <c r="Z20" s="4">
        <f t="shared" si="10"/>
        <v>3900943.3962264149</v>
      </c>
      <c r="AA20" s="23"/>
      <c r="AB20" s="39">
        <f t="shared" si="11"/>
        <v>129716.98113207566</v>
      </c>
      <c r="AC20" s="39">
        <f t="shared" si="11"/>
        <v>129716.98113207566</v>
      </c>
      <c r="AE20" s="39">
        <v>350000</v>
      </c>
      <c r="AF20" s="39">
        <v>350000</v>
      </c>
    </row>
    <row r="21" spans="2:32" x14ac:dyDescent="0.25">
      <c r="B21" s="2" t="s">
        <v>16</v>
      </c>
      <c r="C21" s="23"/>
      <c r="D21" s="19">
        <v>95</v>
      </c>
      <c r="E21" s="19">
        <v>95</v>
      </c>
      <c r="F21" s="23"/>
      <c r="G21" s="19">
        <v>95</v>
      </c>
      <c r="H21" s="19">
        <v>95</v>
      </c>
      <c r="I21" s="23"/>
      <c r="J21" s="4">
        <f>+Sheet1!D20*1000000</f>
        <v>3000000</v>
      </c>
      <c r="K21" s="4">
        <f>+Sheet1!E20*1000000</f>
        <v>3000000</v>
      </c>
      <c r="M21" s="4">
        <f t="shared" si="12"/>
        <v>1030660.3773584906</v>
      </c>
      <c r="N21" s="4">
        <f t="shared" si="8"/>
        <v>1030660.3773584906</v>
      </c>
      <c r="P21" s="4">
        <f t="shared" si="14"/>
        <v>4030660.3773584906</v>
      </c>
      <c r="Q21" s="4">
        <f t="shared" si="14"/>
        <v>4030660.3773584906</v>
      </c>
      <c r="R21" s="23"/>
      <c r="S21" s="4">
        <f t="shared" si="9"/>
        <v>2150943.3962264149</v>
      </c>
      <c r="T21" s="4">
        <f t="shared" si="9"/>
        <v>2150943.3962264149</v>
      </c>
      <c r="V21" s="4">
        <f>+Sheet1!M20*1000000</f>
        <v>1750000</v>
      </c>
      <c r="W21" s="4">
        <f>+Sheet1!N20*1000000</f>
        <v>1750000</v>
      </c>
      <c r="Y21" s="4">
        <f t="shared" si="13"/>
        <v>3900943.3962264149</v>
      </c>
      <c r="Z21" s="4">
        <f t="shared" si="10"/>
        <v>3900943.3962264149</v>
      </c>
      <c r="AA21" s="23"/>
      <c r="AB21" s="39">
        <f t="shared" si="11"/>
        <v>129716.98113207566</v>
      </c>
      <c r="AC21" s="39">
        <f t="shared" si="11"/>
        <v>129716.98113207566</v>
      </c>
      <c r="AE21" s="39">
        <v>350000</v>
      </c>
      <c r="AF21" s="39">
        <v>350000</v>
      </c>
    </row>
    <row r="22" spans="2:32" x14ac:dyDescent="0.25">
      <c r="B22" s="2" t="s">
        <v>17</v>
      </c>
      <c r="C22" s="23"/>
      <c r="D22" s="19">
        <v>75</v>
      </c>
      <c r="E22" s="19">
        <v>75</v>
      </c>
      <c r="F22" s="23"/>
      <c r="G22" s="19">
        <v>75</v>
      </c>
      <c r="H22" s="19">
        <v>75</v>
      </c>
      <c r="I22" s="23"/>
      <c r="J22" s="4">
        <f>+Sheet1!D21*1000000</f>
        <v>2500000</v>
      </c>
      <c r="K22" s="4">
        <f>+Sheet1!E21*1000000</f>
        <v>2500000</v>
      </c>
      <c r="M22" s="4">
        <f t="shared" si="12"/>
        <v>813679.24528301891</v>
      </c>
      <c r="N22" s="4">
        <f t="shared" si="8"/>
        <v>813679.24528301891</v>
      </c>
      <c r="P22" s="4">
        <f t="shared" si="14"/>
        <v>3313679.2452830188</v>
      </c>
      <c r="Q22" s="4">
        <f t="shared" si="14"/>
        <v>3313679.2452830188</v>
      </c>
      <c r="R22" s="23"/>
      <c r="S22" s="4">
        <f t="shared" si="9"/>
        <v>1698113.2075471699</v>
      </c>
      <c r="T22" s="4">
        <f t="shared" si="9"/>
        <v>1698113.2075471699</v>
      </c>
      <c r="V22" s="4">
        <f>+Sheet1!M21*1000000</f>
        <v>1750000</v>
      </c>
      <c r="W22" s="4">
        <f>+Sheet1!N21*1000000</f>
        <v>1750000</v>
      </c>
      <c r="Y22" s="4">
        <f t="shared" si="13"/>
        <v>3448113.2075471701</v>
      </c>
      <c r="Z22" s="4">
        <f t="shared" si="10"/>
        <v>3448113.2075471701</v>
      </c>
      <c r="AA22" s="23"/>
      <c r="AB22" s="39">
        <f t="shared" si="11"/>
        <v>-134433.96226415131</v>
      </c>
      <c r="AC22" s="39">
        <f t="shared" si="11"/>
        <v>-134433.96226415131</v>
      </c>
      <c r="AE22" s="39">
        <v>200000</v>
      </c>
      <c r="AF22" s="39">
        <v>200000</v>
      </c>
    </row>
    <row r="23" spans="2:32" x14ac:dyDescent="0.25">
      <c r="B23" s="2" t="s">
        <v>18</v>
      </c>
      <c r="C23" s="23"/>
      <c r="D23" s="19">
        <v>75</v>
      </c>
      <c r="E23" s="19">
        <v>75</v>
      </c>
      <c r="F23" s="23"/>
      <c r="G23" s="19">
        <v>75</v>
      </c>
      <c r="H23" s="19">
        <v>75</v>
      </c>
      <c r="I23" s="23"/>
      <c r="J23" s="4">
        <f>+Sheet1!D22*1000000</f>
        <v>2500000</v>
      </c>
      <c r="K23" s="4">
        <f>+Sheet1!E22*1000000</f>
        <v>2500000</v>
      </c>
      <c r="M23" s="4">
        <f t="shared" si="12"/>
        <v>813679.24528301891</v>
      </c>
      <c r="N23" s="4">
        <f t="shared" si="8"/>
        <v>813679.24528301891</v>
      </c>
      <c r="P23" s="4">
        <f t="shared" si="14"/>
        <v>3313679.2452830188</v>
      </c>
      <c r="Q23" s="4">
        <f t="shared" si="14"/>
        <v>3313679.2452830188</v>
      </c>
      <c r="R23" s="23"/>
      <c r="S23" s="4">
        <f t="shared" si="9"/>
        <v>1698113.2075471699</v>
      </c>
      <c r="T23" s="4">
        <f t="shared" si="9"/>
        <v>1698113.2075471699</v>
      </c>
      <c r="V23" s="4">
        <f>+Sheet1!M22*1000000</f>
        <v>1750000</v>
      </c>
      <c r="W23" s="4">
        <f>+Sheet1!N22*1000000</f>
        <v>1750000</v>
      </c>
      <c r="Y23" s="4">
        <f t="shared" si="13"/>
        <v>3448113.2075471701</v>
      </c>
      <c r="Z23" s="4">
        <f t="shared" si="10"/>
        <v>3448113.2075471701</v>
      </c>
      <c r="AA23" s="23"/>
      <c r="AB23" s="39">
        <f t="shared" si="11"/>
        <v>-134433.96226415131</v>
      </c>
      <c r="AC23" s="39">
        <f t="shared" si="11"/>
        <v>-134433.96226415131</v>
      </c>
      <c r="AE23" s="39">
        <v>200000</v>
      </c>
      <c r="AF23" s="39">
        <v>200000</v>
      </c>
    </row>
    <row r="24" spans="2:32" x14ac:dyDescent="0.25">
      <c r="C24" s="23"/>
      <c r="E24" s="22">
        <f>SUM(D16:E23)</f>
        <v>1060</v>
      </c>
      <c r="F24" s="23"/>
      <c r="H24" s="22">
        <f>SUM(G16:H23)</f>
        <v>1060</v>
      </c>
      <c r="I24" s="23"/>
      <c r="K24" s="6">
        <f>SUM(J16:K23)</f>
        <v>45500000</v>
      </c>
      <c r="N24" s="6">
        <f>+J18+K18+J16+K16</f>
        <v>11500000</v>
      </c>
      <c r="Q24" s="6">
        <f>SUM(P16:Q23)</f>
        <v>45500000</v>
      </c>
      <c r="R24" s="23"/>
      <c r="T24" s="6">
        <v>24000000</v>
      </c>
      <c r="W24" s="6">
        <f>SUM(V16:W23)</f>
        <v>21000000</v>
      </c>
      <c r="Z24" s="6">
        <f>SUM(Y16:Z23)</f>
        <v>45000000.000000007</v>
      </c>
      <c r="AA24" s="23"/>
      <c r="AC24" s="42">
        <f>SUM(AB16:AC23)</f>
        <v>500000</v>
      </c>
      <c r="AF24" s="42">
        <f>SUM(AE16:AF23)</f>
        <v>3600000</v>
      </c>
    </row>
    <row r="25" spans="2:32" x14ac:dyDescent="0.25">
      <c r="B25"/>
      <c r="D25"/>
      <c r="E25"/>
      <c r="G25"/>
      <c r="H25"/>
      <c r="J25" s="3"/>
      <c r="K25" s="3"/>
      <c r="M25" s="3"/>
      <c r="N25" s="3"/>
      <c r="P25" s="3"/>
      <c r="Q25" s="3"/>
      <c r="S25" s="3"/>
      <c r="T25" s="3"/>
      <c r="V25" s="3"/>
      <c r="W25" s="3"/>
      <c r="Y25" s="3"/>
      <c r="Z25" s="3"/>
      <c r="AB25" s="43"/>
      <c r="AC25" s="43"/>
      <c r="AE25" s="43"/>
      <c r="AF25" s="43"/>
    </row>
    <row r="26" spans="2:32" x14ac:dyDescent="0.25">
      <c r="B26"/>
      <c r="D26"/>
      <c r="E26"/>
      <c r="G26"/>
      <c r="H26"/>
      <c r="J26" s="3"/>
      <c r="K26" s="3"/>
      <c r="M26" s="3"/>
      <c r="N26" s="3"/>
      <c r="P26" s="3"/>
      <c r="Q26" s="3"/>
      <c r="S26" s="3"/>
      <c r="T26" s="3"/>
      <c r="V26" s="3"/>
      <c r="W26" s="3"/>
      <c r="Y26" s="3"/>
      <c r="Z26" s="3"/>
      <c r="AB26" s="43"/>
      <c r="AC26" s="43"/>
      <c r="AE26" s="43"/>
      <c r="AF26" s="43"/>
    </row>
    <row r="27" spans="2:32" x14ac:dyDescent="0.25">
      <c r="D27" s="191" t="s">
        <v>26</v>
      </c>
      <c r="E27" s="191"/>
      <c r="F27" s="191"/>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E27"/>
      <c r="AF27"/>
    </row>
    <row r="28" spans="2:32" x14ac:dyDescent="0.25">
      <c r="D28" s="47" t="s">
        <v>27</v>
      </c>
      <c r="G28" s="47" t="s">
        <v>27</v>
      </c>
    </row>
    <row r="29" spans="2:32" x14ac:dyDescent="0.25">
      <c r="D29" s="47" t="s">
        <v>28</v>
      </c>
      <c r="G29" s="47" t="s">
        <v>28</v>
      </c>
    </row>
    <row r="30" spans="2:32" x14ac:dyDescent="0.25">
      <c r="D30" s="47" t="s">
        <v>29</v>
      </c>
      <c r="G30" s="47" t="s">
        <v>29</v>
      </c>
    </row>
    <row r="31" spans="2:32" x14ac:dyDescent="0.25">
      <c r="D31" s="47" t="s">
        <v>31</v>
      </c>
      <c r="G31" s="47" t="s">
        <v>31</v>
      </c>
    </row>
    <row r="32" spans="2:32" x14ac:dyDescent="0.25">
      <c r="D32" s="47"/>
      <c r="G32" s="47"/>
    </row>
    <row r="33" spans="4:7" x14ac:dyDescent="0.25">
      <c r="D33" s="47"/>
      <c r="G33" s="47"/>
    </row>
  </sheetData>
  <mergeCells count="41">
    <mergeCell ref="D27:AC27"/>
    <mergeCell ref="G2:H2"/>
    <mergeCell ref="G3:H3"/>
    <mergeCell ref="G14:H14"/>
    <mergeCell ref="G15:H15"/>
    <mergeCell ref="M14:N14"/>
    <mergeCell ref="M15:N15"/>
    <mergeCell ref="M2:N2"/>
    <mergeCell ref="M3:N3"/>
    <mergeCell ref="AB3:AC3"/>
    <mergeCell ref="Y2:Z2"/>
    <mergeCell ref="AB2:AC2"/>
    <mergeCell ref="Y14:Z14"/>
    <mergeCell ref="AB14:AC14"/>
    <mergeCell ref="AE14:AF14"/>
    <mergeCell ref="D15:E15"/>
    <mergeCell ref="J15:K15"/>
    <mergeCell ref="P15:Q15"/>
    <mergeCell ref="S15:T15"/>
    <mergeCell ref="V15:W15"/>
    <mergeCell ref="Y15:Z15"/>
    <mergeCell ref="AB15:AC15"/>
    <mergeCell ref="AE15:AF15"/>
    <mergeCell ref="D14:E14"/>
    <mergeCell ref="J14:K14"/>
    <mergeCell ref="P14:Q14"/>
    <mergeCell ref="S14:T14"/>
    <mergeCell ref="V14:W14"/>
    <mergeCell ref="AE2:AF2"/>
    <mergeCell ref="D3:E3"/>
    <mergeCell ref="J3:K3"/>
    <mergeCell ref="P3:Q3"/>
    <mergeCell ref="S3:T3"/>
    <mergeCell ref="V3:W3"/>
    <mergeCell ref="Y3:Z3"/>
    <mergeCell ref="D2:E2"/>
    <mergeCell ref="J2:K2"/>
    <mergeCell ref="P2:Q2"/>
    <mergeCell ref="S2:T2"/>
    <mergeCell ref="V2:W2"/>
    <mergeCell ref="AE3:A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AF96-43B3-40CF-B0F3-C7BEBA92D87E}">
  <dimension ref="B2:AF33"/>
  <sheetViews>
    <sheetView showGridLines="0" showZeros="0" zoomScaleNormal="100" workbookViewId="0">
      <selection activeCell="H42" sqref="H42"/>
    </sheetView>
  </sheetViews>
  <sheetFormatPr defaultRowHeight="15" x14ac:dyDescent="0.25"/>
  <cols>
    <col min="1" max="1" width="2.5703125" customWidth="1"/>
    <col min="2" max="2" width="10.140625" style="1" customWidth="1"/>
    <col min="3" max="3" width="1.5703125" customWidth="1"/>
    <col min="4" max="4" width="9.28515625" style="21" customWidth="1"/>
    <col min="5" max="5" width="11.140625" style="21" customWidth="1"/>
    <col min="6" max="6" width="1.5703125" customWidth="1"/>
    <col min="7" max="7" width="9.28515625" style="21" customWidth="1"/>
    <col min="8" max="8" width="11.140625" style="21" customWidth="1"/>
    <col min="9" max="9" width="1.5703125" customWidth="1"/>
    <col min="10" max="10" width="11.140625" style="5" customWidth="1"/>
    <col min="11" max="11" width="12" style="5" customWidth="1"/>
    <col min="12" max="12" width="1.28515625" customWidth="1"/>
    <col min="13" max="14" width="13" style="5" customWidth="1"/>
    <col min="15" max="15" width="1.140625" customWidth="1"/>
    <col min="16" max="16" width="11" style="5" customWidth="1"/>
    <col min="17" max="17" width="12" style="5" customWidth="1"/>
    <col min="18" max="18" width="1.5703125" customWidth="1"/>
    <col min="19" max="19" width="11.140625" style="5" customWidth="1"/>
    <col min="20" max="20" width="12" style="5" customWidth="1"/>
    <col min="21" max="21" width="1.42578125" customWidth="1"/>
    <col min="22" max="22" width="11" style="5" customWidth="1"/>
    <col min="23" max="23" width="12" style="5" customWidth="1"/>
    <col min="24" max="24" width="1.42578125" customWidth="1"/>
    <col min="25" max="25" width="11.140625" style="5" customWidth="1"/>
    <col min="26" max="26" width="12" style="5" customWidth="1"/>
    <col min="27" max="27" width="1.5703125" customWidth="1"/>
    <col min="28" max="28" width="12.28515625" style="41" customWidth="1"/>
    <col min="29" max="29" width="12.85546875" style="41" customWidth="1"/>
    <col min="30" max="30" width="1.85546875" customWidth="1"/>
    <col min="31" max="31" width="12.28515625" style="41" customWidth="1"/>
    <col min="32" max="32" width="13.140625" style="41" customWidth="1"/>
  </cols>
  <sheetData>
    <row r="2" spans="2:32" x14ac:dyDescent="0.25">
      <c r="C2" s="23"/>
      <c r="D2" s="136" t="s">
        <v>19</v>
      </c>
      <c r="E2" s="136"/>
      <c r="F2" s="23"/>
      <c r="G2" s="136" t="s">
        <v>19</v>
      </c>
      <c r="H2" s="136"/>
      <c r="I2" s="23"/>
      <c r="J2" s="187" t="s">
        <v>38</v>
      </c>
      <c r="K2" s="187"/>
      <c r="L2" s="25"/>
      <c r="M2" s="188" t="s">
        <v>39</v>
      </c>
      <c r="N2" s="189"/>
      <c r="O2" s="25"/>
      <c r="P2" s="188" t="s">
        <v>0</v>
      </c>
      <c r="Q2" s="189"/>
      <c r="R2" s="23"/>
      <c r="S2" s="188" t="s">
        <v>20</v>
      </c>
      <c r="T2" s="189"/>
      <c r="U2" s="25"/>
      <c r="V2" s="187"/>
      <c r="W2" s="187"/>
      <c r="X2" s="25"/>
      <c r="Y2" s="187" t="s">
        <v>1</v>
      </c>
      <c r="Z2" s="187"/>
      <c r="AA2" s="23"/>
      <c r="AB2" s="190" t="s">
        <v>21</v>
      </c>
      <c r="AC2" s="190"/>
      <c r="AE2" s="190" t="s">
        <v>22</v>
      </c>
      <c r="AF2" s="190"/>
    </row>
    <row r="3" spans="2:32" x14ac:dyDescent="0.25">
      <c r="C3" s="23"/>
      <c r="D3" s="136" t="s">
        <v>6</v>
      </c>
      <c r="E3" s="136"/>
      <c r="F3" s="23"/>
      <c r="G3" s="136" t="s">
        <v>40</v>
      </c>
      <c r="H3" s="136"/>
      <c r="I3" s="23"/>
      <c r="J3" s="187" t="s">
        <v>5</v>
      </c>
      <c r="K3" s="187"/>
      <c r="L3" s="25"/>
      <c r="M3" s="188" t="s">
        <v>23</v>
      </c>
      <c r="N3" s="189"/>
      <c r="O3" s="25"/>
      <c r="P3" s="188" t="s">
        <v>5</v>
      </c>
      <c r="Q3" s="189"/>
      <c r="R3" s="23"/>
      <c r="S3" s="188" t="s">
        <v>24</v>
      </c>
      <c r="T3" s="189"/>
      <c r="U3" s="25"/>
      <c r="V3" s="187" t="s">
        <v>8</v>
      </c>
      <c r="W3" s="187"/>
      <c r="X3" s="25"/>
      <c r="Y3" s="187" t="s">
        <v>9</v>
      </c>
      <c r="Z3" s="187"/>
      <c r="AA3" s="23"/>
      <c r="AB3" s="190" t="s">
        <v>10</v>
      </c>
      <c r="AC3" s="190"/>
      <c r="AE3" s="190" t="s">
        <v>10</v>
      </c>
      <c r="AF3" s="190"/>
    </row>
    <row r="4" spans="2:32" x14ac:dyDescent="0.25">
      <c r="B4" s="2" t="s">
        <v>11</v>
      </c>
      <c r="C4" s="23"/>
      <c r="D4" s="19">
        <v>25</v>
      </c>
      <c r="E4" s="19">
        <v>75</v>
      </c>
      <c r="F4" s="23"/>
      <c r="G4" s="19">
        <v>85</v>
      </c>
      <c r="H4" s="19">
        <v>85</v>
      </c>
      <c r="I4" s="23"/>
      <c r="J4" s="4">
        <f>+G4*34000</f>
        <v>2890000</v>
      </c>
      <c r="K4" s="4">
        <f t="shared" ref="K4:K11" si="0">+H4*34000</f>
        <v>2890000</v>
      </c>
      <c r="M4" s="4">
        <f t="shared" ref="M4:N11" si="1">+$N$12*D4/$E$12</f>
        <v>148847.92626728112</v>
      </c>
      <c r="N4" s="4">
        <f t="shared" si="1"/>
        <v>446543.77880184329</v>
      </c>
      <c r="P4" s="4">
        <f>+J4+M4</f>
        <v>3038847.9262672812</v>
      </c>
      <c r="Q4" s="4">
        <f>+K4+N4</f>
        <v>3336543.7788018435</v>
      </c>
      <c r="R4" s="23"/>
      <c r="S4" s="4">
        <f t="shared" ref="S4:T11" si="2">+$T$12*D4/$E$12</f>
        <v>322580.6451612903</v>
      </c>
      <c r="T4" s="4">
        <f t="shared" si="2"/>
        <v>967741.93548387091</v>
      </c>
      <c r="V4" s="4">
        <f>+Sheet1!M4*1000000</f>
        <v>0</v>
      </c>
      <c r="W4" s="4">
        <f>+Sheet1!N4*1000000</f>
        <v>875000</v>
      </c>
      <c r="Y4" s="4">
        <f>+S4+V4</f>
        <v>322580.6451612903</v>
      </c>
      <c r="Z4" s="4">
        <f t="shared" ref="Z4:Z11" si="3">+T4+W4</f>
        <v>1842741.935483871</v>
      </c>
      <c r="AA4" s="23"/>
      <c r="AB4" s="39">
        <f t="shared" ref="AB4:AC11" si="4">+P4-Y4</f>
        <v>2716267.281105991</v>
      </c>
      <c r="AC4" s="39">
        <f t="shared" si="4"/>
        <v>1493801.8433179725</v>
      </c>
      <c r="AE4" s="39">
        <v>2500000</v>
      </c>
      <c r="AF4" s="39">
        <v>750000</v>
      </c>
    </row>
    <row r="5" spans="2:32" x14ac:dyDescent="0.25">
      <c r="B5" s="2" t="s">
        <v>12</v>
      </c>
      <c r="C5" s="23"/>
      <c r="D5" s="19">
        <v>95</v>
      </c>
      <c r="E5" s="19">
        <v>95</v>
      </c>
      <c r="F5" s="23"/>
      <c r="G5" s="19">
        <v>95</v>
      </c>
      <c r="H5" s="19">
        <v>95</v>
      </c>
      <c r="I5" s="23"/>
      <c r="J5" s="4">
        <f t="shared" ref="J5:J11" si="5">+G5*34000</f>
        <v>3230000</v>
      </c>
      <c r="K5" s="4">
        <f t="shared" si="0"/>
        <v>3230000</v>
      </c>
      <c r="M5" s="4">
        <f t="shared" si="1"/>
        <v>565622.11981566821</v>
      </c>
      <c r="N5" s="4">
        <f t="shared" si="1"/>
        <v>565622.11981566821</v>
      </c>
      <c r="P5" s="4">
        <f>+J5+M5</f>
        <v>3795622.1198156681</v>
      </c>
      <c r="Q5" s="4">
        <f>+K5+N5</f>
        <v>3795622.1198156681</v>
      </c>
      <c r="R5" s="23"/>
      <c r="S5" s="4">
        <f t="shared" si="2"/>
        <v>1225806.4516129033</v>
      </c>
      <c r="T5" s="4">
        <f t="shared" si="2"/>
        <v>1225806.4516129033</v>
      </c>
      <c r="V5" s="4">
        <f>+Sheet1!M5*1000000</f>
        <v>1750000</v>
      </c>
      <c r="W5" s="4">
        <f>+Sheet1!N5*1000000</f>
        <v>1750000</v>
      </c>
      <c r="Y5" s="4">
        <f t="shared" ref="Y5:Y11" si="6">+S5+V5</f>
        <v>2975806.4516129033</v>
      </c>
      <c r="Z5" s="4">
        <f t="shared" si="3"/>
        <v>2975806.4516129033</v>
      </c>
      <c r="AA5" s="23"/>
      <c r="AB5" s="39">
        <f t="shared" si="4"/>
        <v>819815.66820276482</v>
      </c>
      <c r="AC5" s="39">
        <f t="shared" si="4"/>
        <v>819815.66820276482</v>
      </c>
      <c r="AE5" s="39">
        <v>350000</v>
      </c>
      <c r="AF5" s="39">
        <v>350000</v>
      </c>
    </row>
    <row r="6" spans="2:32" x14ac:dyDescent="0.25">
      <c r="B6" s="2" t="s">
        <v>13</v>
      </c>
      <c r="C6" s="23"/>
      <c r="D6" s="20"/>
      <c r="E6" s="20"/>
      <c r="F6" s="23"/>
      <c r="G6" s="20">
        <v>95</v>
      </c>
      <c r="H6" s="20">
        <v>95</v>
      </c>
      <c r="I6" s="23"/>
      <c r="J6" s="7">
        <f t="shared" si="5"/>
        <v>3230000</v>
      </c>
      <c r="K6" s="7">
        <f t="shared" si="0"/>
        <v>3230000</v>
      </c>
      <c r="M6" s="7">
        <f t="shared" si="1"/>
        <v>0</v>
      </c>
      <c r="N6" s="7">
        <f t="shared" si="1"/>
        <v>0</v>
      </c>
      <c r="P6" s="7"/>
      <c r="Q6" s="7"/>
      <c r="R6" s="23"/>
      <c r="S6" s="7">
        <f t="shared" si="2"/>
        <v>0</v>
      </c>
      <c r="T6" s="7">
        <f t="shared" si="2"/>
        <v>0</v>
      </c>
      <c r="V6" s="7">
        <f>+Sheet1!M6*1000000</f>
        <v>0</v>
      </c>
      <c r="W6" s="7">
        <f>+Sheet1!N6*1000000</f>
        <v>0</v>
      </c>
      <c r="Y6" s="7">
        <f t="shared" si="6"/>
        <v>0</v>
      </c>
      <c r="Z6" s="7">
        <f t="shared" si="3"/>
        <v>0</v>
      </c>
      <c r="AA6" s="23"/>
      <c r="AB6" s="40">
        <f t="shared" si="4"/>
        <v>0</v>
      </c>
      <c r="AC6" s="40">
        <f t="shared" si="4"/>
        <v>0</v>
      </c>
      <c r="AE6" s="40">
        <f>11000000*'Sheet1 (2)'!AE6</f>
        <v>0</v>
      </c>
      <c r="AF6" s="40">
        <f>11000000*'Sheet1 (2)'!AF6</f>
        <v>0</v>
      </c>
    </row>
    <row r="7" spans="2:32" x14ac:dyDescent="0.25">
      <c r="B7" s="2" t="s">
        <v>14</v>
      </c>
      <c r="C7" s="23"/>
      <c r="D7" s="19">
        <v>95</v>
      </c>
      <c r="E7" s="19">
        <v>95</v>
      </c>
      <c r="F7" s="23"/>
      <c r="G7" s="19">
        <v>95</v>
      </c>
      <c r="H7" s="19">
        <v>95</v>
      </c>
      <c r="I7" s="23"/>
      <c r="J7" s="4">
        <f t="shared" si="5"/>
        <v>3230000</v>
      </c>
      <c r="K7" s="4">
        <f t="shared" si="0"/>
        <v>3230000</v>
      </c>
      <c r="M7" s="4">
        <f t="shared" si="1"/>
        <v>565622.11981566821</v>
      </c>
      <c r="N7" s="4">
        <f t="shared" si="1"/>
        <v>565622.11981566821</v>
      </c>
      <c r="P7" s="4">
        <f t="shared" ref="P7:Q11" si="7">+J7+M7</f>
        <v>3795622.1198156681</v>
      </c>
      <c r="Q7" s="4">
        <f t="shared" si="7"/>
        <v>3795622.1198156681</v>
      </c>
      <c r="R7" s="23"/>
      <c r="S7" s="4">
        <f t="shared" si="2"/>
        <v>1225806.4516129033</v>
      </c>
      <c r="T7" s="4">
        <f t="shared" si="2"/>
        <v>1225806.4516129033</v>
      </c>
      <c r="V7" s="4">
        <f>+Sheet1!M7*1000000</f>
        <v>1750000</v>
      </c>
      <c r="W7" s="4">
        <f>+Sheet1!N7*1000000</f>
        <v>1750000</v>
      </c>
      <c r="Y7" s="4">
        <f t="shared" si="6"/>
        <v>2975806.4516129033</v>
      </c>
      <c r="Z7" s="4">
        <f t="shared" si="3"/>
        <v>2975806.4516129033</v>
      </c>
      <c r="AA7" s="23"/>
      <c r="AB7" s="39">
        <f t="shared" si="4"/>
        <v>819815.66820276482</v>
      </c>
      <c r="AC7" s="39">
        <f t="shared" si="4"/>
        <v>819815.66820276482</v>
      </c>
      <c r="AE7" s="39">
        <v>350000</v>
      </c>
      <c r="AF7" s="39">
        <v>350000</v>
      </c>
    </row>
    <row r="8" spans="2:32" x14ac:dyDescent="0.25">
      <c r="B8" s="2" t="s">
        <v>15</v>
      </c>
      <c r="C8" s="23"/>
      <c r="D8" s="19">
        <v>95</v>
      </c>
      <c r="E8" s="19">
        <v>95</v>
      </c>
      <c r="F8" s="23"/>
      <c r="G8" s="19">
        <v>95</v>
      </c>
      <c r="H8" s="19">
        <v>95</v>
      </c>
      <c r="I8" s="23"/>
      <c r="J8" s="4">
        <f t="shared" si="5"/>
        <v>3230000</v>
      </c>
      <c r="K8" s="4">
        <f t="shared" si="0"/>
        <v>3230000</v>
      </c>
      <c r="M8" s="4">
        <f t="shared" si="1"/>
        <v>565622.11981566821</v>
      </c>
      <c r="N8" s="4">
        <f t="shared" si="1"/>
        <v>565622.11981566821</v>
      </c>
      <c r="P8" s="4">
        <f t="shared" si="7"/>
        <v>3795622.1198156681</v>
      </c>
      <c r="Q8" s="4">
        <f t="shared" si="7"/>
        <v>3795622.1198156681</v>
      </c>
      <c r="R8" s="23"/>
      <c r="S8" s="4">
        <f t="shared" si="2"/>
        <v>1225806.4516129033</v>
      </c>
      <c r="T8" s="4">
        <f t="shared" si="2"/>
        <v>1225806.4516129033</v>
      </c>
      <c r="V8" s="4">
        <f>+Sheet1!M8*1000000</f>
        <v>1750000</v>
      </c>
      <c r="W8" s="4">
        <f>+Sheet1!N8*1000000</f>
        <v>1750000</v>
      </c>
      <c r="Y8" s="4">
        <f t="shared" si="6"/>
        <v>2975806.4516129033</v>
      </c>
      <c r="Z8" s="4">
        <f t="shared" si="3"/>
        <v>2975806.4516129033</v>
      </c>
      <c r="AA8" s="23"/>
      <c r="AB8" s="39">
        <f t="shared" si="4"/>
        <v>819815.66820276482</v>
      </c>
      <c r="AC8" s="39">
        <f t="shared" si="4"/>
        <v>819815.66820276482</v>
      </c>
      <c r="AE8" s="39">
        <v>350000</v>
      </c>
      <c r="AF8" s="39">
        <v>350000</v>
      </c>
    </row>
    <row r="9" spans="2:32" x14ac:dyDescent="0.25">
      <c r="B9" s="2" t="s">
        <v>16</v>
      </c>
      <c r="C9" s="23"/>
      <c r="D9" s="19">
        <v>95</v>
      </c>
      <c r="E9" s="19">
        <v>95</v>
      </c>
      <c r="F9" s="23"/>
      <c r="G9" s="19">
        <v>95</v>
      </c>
      <c r="H9" s="19">
        <v>95</v>
      </c>
      <c r="I9" s="23"/>
      <c r="J9" s="4">
        <f t="shared" si="5"/>
        <v>3230000</v>
      </c>
      <c r="K9" s="4">
        <f t="shared" si="0"/>
        <v>3230000</v>
      </c>
      <c r="M9" s="4">
        <f t="shared" si="1"/>
        <v>565622.11981566821</v>
      </c>
      <c r="N9" s="4">
        <f t="shared" si="1"/>
        <v>565622.11981566821</v>
      </c>
      <c r="P9" s="4">
        <f t="shared" si="7"/>
        <v>3795622.1198156681</v>
      </c>
      <c r="Q9" s="4">
        <f t="shared" si="7"/>
        <v>3795622.1198156681</v>
      </c>
      <c r="R9" s="23"/>
      <c r="S9" s="4">
        <f t="shared" si="2"/>
        <v>1225806.4516129033</v>
      </c>
      <c r="T9" s="4">
        <f t="shared" si="2"/>
        <v>1225806.4516129033</v>
      </c>
      <c r="V9" s="4">
        <f>+Sheet1!M9*1000000</f>
        <v>1750000</v>
      </c>
      <c r="W9" s="4">
        <f>+Sheet1!N9*1000000</f>
        <v>1750000</v>
      </c>
      <c r="Y9" s="4">
        <f t="shared" si="6"/>
        <v>2975806.4516129033</v>
      </c>
      <c r="Z9" s="4">
        <f t="shared" si="3"/>
        <v>2975806.4516129033</v>
      </c>
      <c r="AA9" s="23"/>
      <c r="AB9" s="39">
        <f t="shared" si="4"/>
        <v>819815.66820276482</v>
      </c>
      <c r="AC9" s="39">
        <f t="shared" si="4"/>
        <v>819815.66820276482</v>
      </c>
      <c r="AE9" s="39">
        <v>350000</v>
      </c>
      <c r="AF9" s="39">
        <v>350000</v>
      </c>
    </row>
    <row r="10" spans="2:32" x14ac:dyDescent="0.25">
      <c r="B10" s="2" t="s">
        <v>17</v>
      </c>
      <c r="C10" s="23"/>
      <c r="D10" s="19">
        <v>75</v>
      </c>
      <c r="E10" s="19">
        <v>75</v>
      </c>
      <c r="F10" s="23"/>
      <c r="G10" s="19">
        <v>75</v>
      </c>
      <c r="H10" s="19">
        <v>75</v>
      </c>
      <c r="I10" s="23"/>
      <c r="J10" s="4">
        <f t="shared" si="5"/>
        <v>2550000</v>
      </c>
      <c r="K10" s="4">
        <f t="shared" si="0"/>
        <v>2550000</v>
      </c>
      <c r="M10" s="4">
        <f t="shared" si="1"/>
        <v>446543.77880184329</v>
      </c>
      <c r="N10" s="4">
        <f t="shared" si="1"/>
        <v>446543.77880184329</v>
      </c>
      <c r="P10" s="4">
        <f t="shared" si="7"/>
        <v>2996543.7788018435</v>
      </c>
      <c r="Q10" s="4">
        <f t="shared" si="7"/>
        <v>2996543.7788018435</v>
      </c>
      <c r="R10" s="23"/>
      <c r="S10" s="4">
        <f t="shared" si="2"/>
        <v>967741.93548387091</v>
      </c>
      <c r="T10" s="4">
        <f t="shared" si="2"/>
        <v>967741.93548387091</v>
      </c>
      <c r="V10" s="4">
        <f>+Sheet1!M10*1000000</f>
        <v>1750000</v>
      </c>
      <c r="W10" s="4">
        <f>+Sheet1!N10*1000000</f>
        <v>1750000</v>
      </c>
      <c r="Y10" s="4">
        <f t="shared" si="6"/>
        <v>2717741.935483871</v>
      </c>
      <c r="Z10" s="4">
        <f t="shared" si="3"/>
        <v>2717741.935483871</v>
      </c>
      <c r="AA10" s="23"/>
      <c r="AB10" s="39">
        <f t="shared" si="4"/>
        <v>278801.8433179725</v>
      </c>
      <c r="AC10" s="39">
        <f t="shared" si="4"/>
        <v>278801.8433179725</v>
      </c>
      <c r="AE10" s="39">
        <v>200000</v>
      </c>
      <c r="AF10" s="39">
        <v>200000</v>
      </c>
    </row>
    <row r="11" spans="2:32" x14ac:dyDescent="0.25">
      <c r="B11" s="2" t="s">
        <v>18</v>
      </c>
      <c r="C11" s="23"/>
      <c r="D11" s="19"/>
      <c r="E11" s="19">
        <v>75</v>
      </c>
      <c r="F11" s="23"/>
      <c r="G11" s="19"/>
      <c r="H11" s="19">
        <v>75</v>
      </c>
      <c r="I11" s="23"/>
      <c r="J11" s="4">
        <f t="shared" si="5"/>
        <v>0</v>
      </c>
      <c r="K11" s="4">
        <f t="shared" si="0"/>
        <v>2550000</v>
      </c>
      <c r="M11" s="4">
        <f t="shared" si="1"/>
        <v>0</v>
      </c>
      <c r="N11" s="4">
        <f t="shared" si="1"/>
        <v>446543.77880184329</v>
      </c>
      <c r="P11" s="4">
        <f t="shared" si="7"/>
        <v>0</v>
      </c>
      <c r="Q11" s="4">
        <f t="shared" si="7"/>
        <v>2996543.7788018435</v>
      </c>
      <c r="R11" s="23"/>
      <c r="S11" s="4">
        <f t="shared" si="2"/>
        <v>0</v>
      </c>
      <c r="T11" s="4">
        <f t="shared" si="2"/>
        <v>967741.93548387091</v>
      </c>
      <c r="V11" s="4">
        <f>+Sheet1!M11*1000000</f>
        <v>0</v>
      </c>
      <c r="W11" s="4">
        <f>+Sheet1!N11*1000000</f>
        <v>875000</v>
      </c>
      <c r="Y11" s="4">
        <f t="shared" si="6"/>
        <v>0</v>
      </c>
      <c r="Z11" s="4">
        <f t="shared" si="3"/>
        <v>1842741.935483871</v>
      </c>
      <c r="AA11" s="23"/>
      <c r="AB11" s="39">
        <f t="shared" si="4"/>
        <v>0</v>
      </c>
      <c r="AC11" s="39">
        <f t="shared" si="4"/>
        <v>1153801.8433179725</v>
      </c>
      <c r="AE11" s="39">
        <f>11000000*'Sheet1 (2)'!AE11</f>
        <v>0</v>
      </c>
      <c r="AF11" s="39">
        <v>550000</v>
      </c>
    </row>
    <row r="12" spans="2:32" x14ac:dyDescent="0.25">
      <c r="C12" s="23"/>
      <c r="E12" s="22">
        <f>SUM(D4:E11)</f>
        <v>1085</v>
      </c>
      <c r="F12" s="23"/>
      <c r="H12" s="22">
        <f>SUM(G4:H11)</f>
        <v>1345</v>
      </c>
      <c r="I12" s="23"/>
      <c r="K12" s="6">
        <f>SUM(J4:K11)</f>
        <v>45730000</v>
      </c>
      <c r="N12" s="6">
        <f>+J6+K6</f>
        <v>6460000</v>
      </c>
      <c r="Q12" s="6">
        <f>SUM(P4:Q11)</f>
        <v>45730000.000000007</v>
      </c>
      <c r="R12" s="23"/>
      <c r="T12" s="6">
        <v>14000000</v>
      </c>
      <c r="W12" s="6">
        <f>SUM(V4:W11)</f>
        <v>19250000</v>
      </c>
      <c r="Z12" s="6">
        <f>SUM(Y4:Z11)</f>
        <v>33250000.000000007</v>
      </c>
      <c r="AA12" s="23"/>
      <c r="AC12" s="42">
        <f>SUM(AB4:AC11)</f>
        <v>12480000.000000004</v>
      </c>
      <c r="AF12" s="42">
        <f>SUM(AE4:AF11)</f>
        <v>7000000</v>
      </c>
    </row>
    <row r="13" spans="2:32" x14ac:dyDescent="0.25">
      <c r="B13"/>
      <c r="D13"/>
      <c r="E13"/>
      <c r="G13"/>
      <c r="H13"/>
      <c r="J13"/>
      <c r="K13"/>
      <c r="M13"/>
      <c r="N13"/>
      <c r="P13"/>
      <c r="Q13"/>
      <c r="S13"/>
      <c r="T13"/>
      <c r="V13"/>
      <c r="W13"/>
      <c r="Y13"/>
      <c r="Z13"/>
      <c r="AB13"/>
      <c r="AC13"/>
      <c r="AE13"/>
      <c r="AF13"/>
    </row>
    <row r="14" spans="2:32" x14ac:dyDescent="0.25">
      <c r="C14" s="23"/>
      <c r="D14" s="136" t="s">
        <v>25</v>
      </c>
      <c r="E14" s="136"/>
      <c r="F14" s="23"/>
      <c r="G14" s="136" t="s">
        <v>25</v>
      </c>
      <c r="H14" s="136"/>
      <c r="I14" s="23"/>
      <c r="J14" s="187"/>
      <c r="K14" s="187"/>
      <c r="L14" s="25"/>
      <c r="M14" s="188" t="s">
        <v>20</v>
      </c>
      <c r="N14" s="189"/>
      <c r="O14" s="25"/>
      <c r="P14" s="188" t="s">
        <v>0</v>
      </c>
      <c r="Q14" s="189"/>
      <c r="R14" s="23"/>
      <c r="S14" s="188" t="s">
        <v>20</v>
      </c>
      <c r="T14" s="189"/>
      <c r="U14" s="25"/>
      <c r="V14" s="187"/>
      <c r="W14" s="187"/>
      <c r="X14" s="25"/>
      <c r="Y14" s="187" t="s">
        <v>1</v>
      </c>
      <c r="Z14" s="187"/>
      <c r="AA14" s="23"/>
      <c r="AB14" s="190" t="s">
        <v>21</v>
      </c>
      <c r="AC14" s="190"/>
      <c r="AE14" s="190" t="s">
        <v>22</v>
      </c>
      <c r="AF14" s="190"/>
    </row>
    <row r="15" spans="2:32" x14ac:dyDescent="0.25">
      <c r="C15" s="23"/>
      <c r="D15" s="136" t="s">
        <v>6</v>
      </c>
      <c r="E15" s="136"/>
      <c r="F15" s="23"/>
      <c r="G15" s="136" t="s">
        <v>6</v>
      </c>
      <c r="H15" s="136"/>
      <c r="I15" s="23"/>
      <c r="J15" s="187" t="s">
        <v>5</v>
      </c>
      <c r="K15" s="187"/>
      <c r="L15" s="25"/>
      <c r="M15" s="188" t="s">
        <v>23</v>
      </c>
      <c r="N15" s="189"/>
      <c r="O15" s="25"/>
      <c r="P15" s="188" t="s">
        <v>5</v>
      </c>
      <c r="Q15" s="189"/>
      <c r="R15" s="23"/>
      <c r="S15" s="188" t="s">
        <v>24</v>
      </c>
      <c r="T15" s="189"/>
      <c r="U15" s="25"/>
      <c r="V15" s="187" t="s">
        <v>8</v>
      </c>
      <c r="W15" s="187"/>
      <c r="X15" s="25"/>
      <c r="Y15" s="187" t="s">
        <v>9</v>
      </c>
      <c r="Z15" s="187"/>
      <c r="AA15" s="23"/>
      <c r="AB15" s="190" t="s">
        <v>10</v>
      </c>
      <c r="AC15" s="190"/>
      <c r="AE15" s="190" t="s">
        <v>10</v>
      </c>
      <c r="AF15" s="190"/>
    </row>
    <row r="16" spans="2:32" x14ac:dyDescent="0.25">
      <c r="B16" s="2" t="s">
        <v>11</v>
      </c>
      <c r="C16" s="23"/>
      <c r="D16" s="20"/>
      <c r="E16" s="20"/>
      <c r="F16" s="23"/>
      <c r="G16" s="20"/>
      <c r="H16" s="20"/>
      <c r="I16" s="23"/>
      <c r="J16" s="7">
        <f>+Sheet1!D15*1000000</f>
        <v>2750000</v>
      </c>
      <c r="K16" s="7">
        <f>+Sheet1!E15*1000000</f>
        <v>2750000</v>
      </c>
      <c r="M16" s="7">
        <f>+$N$24*D16/$E$24</f>
        <v>0</v>
      </c>
      <c r="N16" s="7">
        <f t="shared" ref="N16:N23" si="8">+$N$24*E16/$E$24</f>
        <v>0</v>
      </c>
      <c r="P16" s="7"/>
      <c r="Q16" s="7"/>
      <c r="R16" s="23"/>
      <c r="S16" s="7">
        <f t="shared" ref="S16:T23" si="9">+$T$24*D16/$E$24</f>
        <v>0</v>
      </c>
      <c r="T16" s="7">
        <f t="shared" si="9"/>
        <v>0</v>
      </c>
      <c r="V16" s="7">
        <f>+Sheet1!M15*1000000</f>
        <v>0</v>
      </c>
      <c r="W16" s="7">
        <f>+Sheet1!N15*1000000</f>
        <v>0</v>
      </c>
      <c r="Y16" s="7">
        <f>+S16+V16</f>
        <v>0</v>
      </c>
      <c r="Z16" s="7">
        <f t="shared" ref="Z16:Z23" si="10">+T16+W16</f>
        <v>0</v>
      </c>
      <c r="AA16" s="23"/>
      <c r="AB16" s="40">
        <f t="shared" ref="AB16:AC23" si="11">+P16-Y16</f>
        <v>0</v>
      </c>
      <c r="AC16" s="40">
        <f t="shared" si="11"/>
        <v>0</v>
      </c>
      <c r="AE16" s="40"/>
      <c r="AF16" s="40"/>
    </row>
    <row r="17" spans="2:32" x14ac:dyDescent="0.25">
      <c r="B17" s="2" t="s">
        <v>12</v>
      </c>
      <c r="C17" s="23"/>
      <c r="D17" s="19">
        <v>95</v>
      </c>
      <c r="E17" s="19">
        <v>95</v>
      </c>
      <c r="F17" s="23"/>
      <c r="G17" s="19">
        <v>95</v>
      </c>
      <c r="H17" s="19">
        <v>95</v>
      </c>
      <c r="I17" s="23"/>
      <c r="J17" s="4">
        <f>+Sheet1!D16*1000000</f>
        <v>3000000</v>
      </c>
      <c r="K17" s="4">
        <f>+Sheet1!E16*1000000</f>
        <v>3000000</v>
      </c>
      <c r="M17" s="4">
        <f t="shared" ref="M17:M23" si="12">+$N$24*D17/$E$24</f>
        <v>1030660.3773584906</v>
      </c>
      <c r="N17" s="4">
        <f t="shared" si="8"/>
        <v>1030660.3773584906</v>
      </c>
      <c r="P17" s="4">
        <f>+J17+M17</f>
        <v>4030660.3773584906</v>
      </c>
      <c r="Q17" s="4">
        <f>+K17+N17</f>
        <v>4030660.3773584906</v>
      </c>
      <c r="R17" s="23"/>
      <c r="S17" s="4">
        <f t="shared" si="9"/>
        <v>2150943.3962264149</v>
      </c>
      <c r="T17" s="4">
        <f t="shared" si="9"/>
        <v>2150943.3962264149</v>
      </c>
      <c r="V17" s="4">
        <f>+Sheet1!M16*1000000</f>
        <v>1750000</v>
      </c>
      <c r="W17" s="4">
        <f>+Sheet1!N16*1000000</f>
        <v>1750000</v>
      </c>
      <c r="Y17" s="4">
        <f t="shared" ref="Y17:Y23" si="13">+S17+V17</f>
        <v>3900943.3962264149</v>
      </c>
      <c r="Z17" s="4">
        <f t="shared" si="10"/>
        <v>3900943.3962264149</v>
      </c>
      <c r="AA17" s="23"/>
      <c r="AB17" s="39">
        <f t="shared" si="11"/>
        <v>129716.98113207566</v>
      </c>
      <c r="AC17" s="39">
        <f t="shared" si="11"/>
        <v>129716.98113207566</v>
      </c>
      <c r="AE17" s="39">
        <v>350000</v>
      </c>
      <c r="AF17" s="39">
        <v>350000</v>
      </c>
    </row>
    <row r="18" spans="2:32" x14ac:dyDescent="0.25">
      <c r="B18" s="2" t="s">
        <v>13</v>
      </c>
      <c r="C18" s="23"/>
      <c r="D18" s="20"/>
      <c r="E18" s="20"/>
      <c r="F18" s="23"/>
      <c r="G18" s="20"/>
      <c r="H18" s="20"/>
      <c r="I18" s="23"/>
      <c r="J18" s="7">
        <f>+Sheet1!D17*1000000</f>
        <v>3000000</v>
      </c>
      <c r="K18" s="7">
        <f>+Sheet1!E17*1000000</f>
        <v>3000000</v>
      </c>
      <c r="M18" s="7">
        <f t="shared" si="12"/>
        <v>0</v>
      </c>
      <c r="N18" s="7">
        <f t="shared" si="8"/>
        <v>0</v>
      </c>
      <c r="P18" s="7"/>
      <c r="Q18" s="7"/>
      <c r="R18" s="23"/>
      <c r="S18" s="7">
        <f t="shared" si="9"/>
        <v>0</v>
      </c>
      <c r="T18" s="7">
        <f t="shared" si="9"/>
        <v>0</v>
      </c>
      <c r="V18" s="7">
        <f>+Sheet1!M17*1000000</f>
        <v>0</v>
      </c>
      <c r="W18" s="7">
        <f>+Sheet1!N17*1000000</f>
        <v>0</v>
      </c>
      <c r="Y18" s="7">
        <f t="shared" si="13"/>
        <v>0</v>
      </c>
      <c r="Z18" s="7">
        <f t="shared" si="10"/>
        <v>0</v>
      </c>
      <c r="AA18" s="23"/>
      <c r="AB18" s="40">
        <f t="shared" si="11"/>
        <v>0</v>
      </c>
      <c r="AC18" s="40">
        <f t="shared" si="11"/>
        <v>0</v>
      </c>
      <c r="AE18" s="40">
        <f>11000000*'Sheet1 (2)'!AE18</f>
        <v>0</v>
      </c>
      <c r="AF18" s="40">
        <f>11000000*'Sheet1 (2)'!AF18</f>
        <v>0</v>
      </c>
    </row>
    <row r="19" spans="2:32" x14ac:dyDescent="0.25">
      <c r="B19" s="2" t="s">
        <v>14</v>
      </c>
      <c r="C19" s="23"/>
      <c r="D19" s="19">
        <v>95</v>
      </c>
      <c r="E19" s="19">
        <v>95</v>
      </c>
      <c r="F19" s="23"/>
      <c r="G19" s="19">
        <v>95</v>
      </c>
      <c r="H19" s="19">
        <v>95</v>
      </c>
      <c r="I19" s="23"/>
      <c r="J19" s="4">
        <f>+Sheet1!D18*1000000</f>
        <v>3000000</v>
      </c>
      <c r="K19" s="4">
        <f>+Sheet1!E18*1000000</f>
        <v>3000000</v>
      </c>
      <c r="M19" s="4">
        <f t="shared" si="12"/>
        <v>1030660.3773584906</v>
      </c>
      <c r="N19" s="4">
        <f t="shared" si="8"/>
        <v>1030660.3773584906</v>
      </c>
      <c r="P19" s="4">
        <f t="shared" ref="P19:Q23" si="14">+J19+M19</f>
        <v>4030660.3773584906</v>
      </c>
      <c r="Q19" s="4">
        <f t="shared" si="14"/>
        <v>4030660.3773584906</v>
      </c>
      <c r="R19" s="23"/>
      <c r="S19" s="4">
        <f t="shared" si="9"/>
        <v>2150943.3962264149</v>
      </c>
      <c r="T19" s="4">
        <f t="shared" si="9"/>
        <v>2150943.3962264149</v>
      </c>
      <c r="V19" s="4">
        <f>+Sheet1!M18*1000000</f>
        <v>1750000</v>
      </c>
      <c r="W19" s="4">
        <f>+Sheet1!N18*1000000</f>
        <v>1750000</v>
      </c>
      <c r="Y19" s="4">
        <f t="shared" si="13"/>
        <v>3900943.3962264149</v>
      </c>
      <c r="Z19" s="4">
        <f t="shared" si="10"/>
        <v>3900943.3962264149</v>
      </c>
      <c r="AA19" s="23"/>
      <c r="AB19" s="39">
        <f t="shared" si="11"/>
        <v>129716.98113207566</v>
      </c>
      <c r="AC19" s="39">
        <f t="shared" si="11"/>
        <v>129716.98113207566</v>
      </c>
      <c r="AE19" s="39">
        <v>350000</v>
      </c>
      <c r="AF19" s="39">
        <v>350000</v>
      </c>
    </row>
    <row r="20" spans="2:32" x14ac:dyDescent="0.25">
      <c r="B20" s="2" t="s">
        <v>15</v>
      </c>
      <c r="C20" s="23"/>
      <c r="D20" s="19">
        <v>95</v>
      </c>
      <c r="E20" s="19">
        <v>95</v>
      </c>
      <c r="F20" s="23"/>
      <c r="G20" s="19">
        <v>95</v>
      </c>
      <c r="H20" s="19">
        <v>95</v>
      </c>
      <c r="I20" s="23"/>
      <c r="J20" s="4">
        <f>+Sheet1!D19*1000000</f>
        <v>3000000</v>
      </c>
      <c r="K20" s="4">
        <f>+Sheet1!E19*1000000</f>
        <v>3000000</v>
      </c>
      <c r="M20" s="4">
        <f t="shared" si="12"/>
        <v>1030660.3773584906</v>
      </c>
      <c r="N20" s="4">
        <f t="shared" si="8"/>
        <v>1030660.3773584906</v>
      </c>
      <c r="P20" s="4">
        <f t="shared" si="14"/>
        <v>4030660.3773584906</v>
      </c>
      <c r="Q20" s="4">
        <f t="shared" si="14"/>
        <v>4030660.3773584906</v>
      </c>
      <c r="R20" s="23"/>
      <c r="S20" s="4">
        <f t="shared" si="9"/>
        <v>2150943.3962264149</v>
      </c>
      <c r="T20" s="4">
        <f t="shared" si="9"/>
        <v>2150943.3962264149</v>
      </c>
      <c r="V20" s="4">
        <f>+Sheet1!M19*1000000</f>
        <v>1750000</v>
      </c>
      <c r="W20" s="4">
        <f>+Sheet1!N19*1000000</f>
        <v>1750000</v>
      </c>
      <c r="Y20" s="4">
        <f t="shared" si="13"/>
        <v>3900943.3962264149</v>
      </c>
      <c r="Z20" s="4">
        <f t="shared" si="10"/>
        <v>3900943.3962264149</v>
      </c>
      <c r="AA20" s="23"/>
      <c r="AB20" s="39">
        <f t="shared" si="11"/>
        <v>129716.98113207566</v>
      </c>
      <c r="AC20" s="39">
        <f t="shared" si="11"/>
        <v>129716.98113207566</v>
      </c>
      <c r="AE20" s="39">
        <v>350000</v>
      </c>
      <c r="AF20" s="39">
        <v>350000</v>
      </c>
    </row>
    <row r="21" spans="2:32" x14ac:dyDescent="0.25">
      <c r="B21" s="2" t="s">
        <v>16</v>
      </c>
      <c r="C21" s="23"/>
      <c r="D21" s="19">
        <v>95</v>
      </c>
      <c r="E21" s="19">
        <v>95</v>
      </c>
      <c r="F21" s="23"/>
      <c r="G21" s="19">
        <v>95</v>
      </c>
      <c r="H21" s="19">
        <v>95</v>
      </c>
      <c r="I21" s="23"/>
      <c r="J21" s="4">
        <f>+Sheet1!D20*1000000</f>
        <v>3000000</v>
      </c>
      <c r="K21" s="4">
        <f>+Sheet1!E20*1000000</f>
        <v>3000000</v>
      </c>
      <c r="M21" s="4">
        <f t="shared" si="12"/>
        <v>1030660.3773584906</v>
      </c>
      <c r="N21" s="4">
        <f t="shared" si="8"/>
        <v>1030660.3773584906</v>
      </c>
      <c r="P21" s="4">
        <f t="shared" si="14"/>
        <v>4030660.3773584906</v>
      </c>
      <c r="Q21" s="4">
        <f t="shared" si="14"/>
        <v>4030660.3773584906</v>
      </c>
      <c r="R21" s="23"/>
      <c r="S21" s="4">
        <f t="shared" si="9"/>
        <v>2150943.3962264149</v>
      </c>
      <c r="T21" s="4">
        <f t="shared" si="9"/>
        <v>2150943.3962264149</v>
      </c>
      <c r="V21" s="4">
        <f>+Sheet1!M20*1000000</f>
        <v>1750000</v>
      </c>
      <c r="W21" s="4">
        <f>+Sheet1!N20*1000000</f>
        <v>1750000</v>
      </c>
      <c r="Y21" s="4">
        <f t="shared" si="13"/>
        <v>3900943.3962264149</v>
      </c>
      <c r="Z21" s="4">
        <f t="shared" si="10"/>
        <v>3900943.3962264149</v>
      </c>
      <c r="AA21" s="23"/>
      <c r="AB21" s="39">
        <f t="shared" si="11"/>
        <v>129716.98113207566</v>
      </c>
      <c r="AC21" s="39">
        <f t="shared" si="11"/>
        <v>129716.98113207566</v>
      </c>
      <c r="AE21" s="39">
        <v>350000</v>
      </c>
      <c r="AF21" s="39">
        <v>350000</v>
      </c>
    </row>
    <row r="22" spans="2:32" x14ac:dyDescent="0.25">
      <c r="B22" s="2" t="s">
        <v>17</v>
      </c>
      <c r="C22" s="23"/>
      <c r="D22" s="19">
        <v>75</v>
      </c>
      <c r="E22" s="19">
        <v>75</v>
      </c>
      <c r="F22" s="23"/>
      <c r="G22" s="19">
        <v>75</v>
      </c>
      <c r="H22" s="19">
        <v>75</v>
      </c>
      <c r="I22" s="23"/>
      <c r="J22" s="4">
        <f>+Sheet1!D21*1000000</f>
        <v>2500000</v>
      </c>
      <c r="K22" s="4">
        <f>+Sheet1!E21*1000000</f>
        <v>2500000</v>
      </c>
      <c r="M22" s="4">
        <f t="shared" si="12"/>
        <v>813679.24528301891</v>
      </c>
      <c r="N22" s="4">
        <f t="shared" si="8"/>
        <v>813679.24528301891</v>
      </c>
      <c r="P22" s="4">
        <f t="shared" si="14"/>
        <v>3313679.2452830188</v>
      </c>
      <c r="Q22" s="4">
        <f t="shared" si="14"/>
        <v>3313679.2452830188</v>
      </c>
      <c r="R22" s="23"/>
      <c r="S22" s="4">
        <f t="shared" si="9"/>
        <v>1698113.2075471699</v>
      </c>
      <c r="T22" s="4">
        <f t="shared" si="9"/>
        <v>1698113.2075471699</v>
      </c>
      <c r="V22" s="4">
        <f>+Sheet1!M21*1000000</f>
        <v>1750000</v>
      </c>
      <c r="W22" s="4">
        <f>+Sheet1!N21*1000000</f>
        <v>1750000</v>
      </c>
      <c r="Y22" s="4">
        <f t="shared" si="13"/>
        <v>3448113.2075471701</v>
      </c>
      <c r="Z22" s="4">
        <f t="shared" si="10"/>
        <v>3448113.2075471701</v>
      </c>
      <c r="AA22" s="23"/>
      <c r="AB22" s="39">
        <f t="shared" si="11"/>
        <v>-134433.96226415131</v>
      </c>
      <c r="AC22" s="39">
        <f t="shared" si="11"/>
        <v>-134433.96226415131</v>
      </c>
      <c r="AE22" s="39">
        <v>200000</v>
      </c>
      <c r="AF22" s="39">
        <v>200000</v>
      </c>
    </row>
    <row r="23" spans="2:32" x14ac:dyDescent="0.25">
      <c r="B23" s="2" t="s">
        <v>18</v>
      </c>
      <c r="C23" s="23"/>
      <c r="D23" s="19">
        <v>75</v>
      </c>
      <c r="E23" s="19">
        <v>75</v>
      </c>
      <c r="F23" s="23"/>
      <c r="G23" s="19">
        <v>75</v>
      </c>
      <c r="H23" s="19">
        <v>75</v>
      </c>
      <c r="I23" s="23"/>
      <c r="J23" s="4">
        <f>+Sheet1!D22*1000000</f>
        <v>2500000</v>
      </c>
      <c r="K23" s="4">
        <f>+Sheet1!E22*1000000</f>
        <v>2500000</v>
      </c>
      <c r="M23" s="4">
        <f t="shared" si="12"/>
        <v>813679.24528301891</v>
      </c>
      <c r="N23" s="4">
        <f t="shared" si="8"/>
        <v>813679.24528301891</v>
      </c>
      <c r="P23" s="4">
        <f t="shared" si="14"/>
        <v>3313679.2452830188</v>
      </c>
      <c r="Q23" s="4">
        <f t="shared" si="14"/>
        <v>3313679.2452830188</v>
      </c>
      <c r="R23" s="23"/>
      <c r="S23" s="4">
        <f t="shared" si="9"/>
        <v>1698113.2075471699</v>
      </c>
      <c r="T23" s="4">
        <f t="shared" si="9"/>
        <v>1698113.2075471699</v>
      </c>
      <c r="V23" s="4">
        <f>+Sheet1!M22*1000000</f>
        <v>1750000</v>
      </c>
      <c r="W23" s="4">
        <f>+Sheet1!N22*1000000</f>
        <v>1750000</v>
      </c>
      <c r="Y23" s="4">
        <f t="shared" si="13"/>
        <v>3448113.2075471701</v>
      </c>
      <c r="Z23" s="4">
        <f t="shared" si="10"/>
        <v>3448113.2075471701</v>
      </c>
      <c r="AA23" s="23"/>
      <c r="AB23" s="39">
        <f t="shared" si="11"/>
        <v>-134433.96226415131</v>
      </c>
      <c r="AC23" s="39">
        <f t="shared" si="11"/>
        <v>-134433.96226415131</v>
      </c>
      <c r="AE23" s="39">
        <v>200000</v>
      </c>
      <c r="AF23" s="39">
        <v>200000</v>
      </c>
    </row>
    <row r="24" spans="2:32" x14ac:dyDescent="0.25">
      <c r="C24" s="23"/>
      <c r="E24" s="22">
        <f>SUM(D16:E23)</f>
        <v>1060</v>
      </c>
      <c r="F24" s="23"/>
      <c r="H24" s="22">
        <f>SUM(G16:H23)</f>
        <v>1060</v>
      </c>
      <c r="I24" s="23"/>
      <c r="K24" s="6">
        <f>SUM(J16:K23)</f>
        <v>45500000</v>
      </c>
      <c r="N24" s="6">
        <f>+J18+K18+J16+K16</f>
        <v>11500000</v>
      </c>
      <c r="Q24" s="6">
        <f>SUM(P16:Q23)</f>
        <v>45500000</v>
      </c>
      <c r="R24" s="23"/>
      <c r="T24" s="6">
        <v>24000000</v>
      </c>
      <c r="W24" s="6">
        <f>SUM(V16:W23)</f>
        <v>21000000</v>
      </c>
      <c r="Z24" s="6">
        <f>SUM(Y16:Z23)</f>
        <v>45000000.000000007</v>
      </c>
      <c r="AA24" s="23"/>
      <c r="AC24" s="42">
        <f>SUM(AB16:AC23)</f>
        <v>500000</v>
      </c>
      <c r="AF24" s="42">
        <f>SUM(AE16:AF23)</f>
        <v>3600000</v>
      </c>
    </row>
    <row r="25" spans="2:32" x14ac:dyDescent="0.25">
      <c r="B25"/>
      <c r="D25"/>
      <c r="E25"/>
      <c r="G25"/>
      <c r="H25"/>
      <c r="J25" s="3"/>
      <c r="K25" s="3"/>
      <c r="M25" s="3"/>
      <c r="N25" s="3"/>
      <c r="P25" s="3"/>
      <c r="Q25" s="3"/>
      <c r="S25" s="3"/>
      <c r="T25" s="3"/>
      <c r="V25" s="3"/>
      <c r="W25" s="3"/>
      <c r="Y25" s="3"/>
      <c r="Z25" s="3"/>
      <c r="AB25" s="43"/>
      <c r="AC25" s="43"/>
      <c r="AE25" s="43"/>
      <c r="AF25" s="43"/>
    </row>
    <row r="26" spans="2:32" x14ac:dyDescent="0.25">
      <c r="B26"/>
      <c r="D26"/>
      <c r="E26"/>
      <c r="G26"/>
      <c r="H26"/>
      <c r="J26" s="3"/>
      <c r="K26" s="3"/>
      <c r="M26" s="3"/>
      <c r="N26" s="3"/>
      <c r="P26" s="3"/>
      <c r="Q26" s="3"/>
      <c r="S26" s="3"/>
      <c r="T26" s="3"/>
      <c r="V26" s="3"/>
      <c r="W26" s="3"/>
      <c r="Y26" s="3"/>
      <c r="Z26" s="3"/>
      <c r="AB26" s="43"/>
      <c r="AC26" s="43"/>
      <c r="AE26" s="43"/>
      <c r="AF26" s="43"/>
    </row>
    <row r="27" spans="2:32" x14ac:dyDescent="0.25">
      <c r="D27" s="191" t="s">
        <v>26</v>
      </c>
      <c r="E27" s="191"/>
      <c r="F27" s="191"/>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E27"/>
      <c r="AF27"/>
    </row>
    <row r="28" spans="2:32" x14ac:dyDescent="0.25">
      <c r="D28" s="47" t="s">
        <v>27</v>
      </c>
      <c r="G28" s="47" t="s">
        <v>27</v>
      </c>
    </row>
    <row r="29" spans="2:32" x14ac:dyDescent="0.25">
      <c r="D29" s="47" t="s">
        <v>28</v>
      </c>
      <c r="G29" s="47" t="s">
        <v>28</v>
      </c>
    </row>
    <row r="30" spans="2:32" x14ac:dyDescent="0.25">
      <c r="D30" s="47" t="s">
        <v>29</v>
      </c>
      <c r="G30" s="47" t="s">
        <v>29</v>
      </c>
    </row>
    <row r="31" spans="2:32" x14ac:dyDescent="0.25">
      <c r="D31" s="47" t="s">
        <v>31</v>
      </c>
      <c r="G31" s="47" t="s">
        <v>31</v>
      </c>
    </row>
    <row r="32" spans="2:32" x14ac:dyDescent="0.25">
      <c r="D32" s="47"/>
      <c r="G32" s="47"/>
    </row>
    <row r="33" spans="4:7" x14ac:dyDescent="0.25">
      <c r="D33" s="47"/>
      <c r="G33" s="47"/>
    </row>
  </sheetData>
  <mergeCells count="41">
    <mergeCell ref="D27:AC27"/>
    <mergeCell ref="S15:T15"/>
    <mergeCell ref="V15:W15"/>
    <mergeCell ref="Y15:Z15"/>
    <mergeCell ref="AB15:AC15"/>
    <mergeCell ref="AE15:AF15"/>
    <mergeCell ref="D15:E15"/>
    <mergeCell ref="G15:H15"/>
    <mergeCell ref="J15:K15"/>
    <mergeCell ref="M15:N15"/>
    <mergeCell ref="P15:Q15"/>
    <mergeCell ref="V3:W3"/>
    <mergeCell ref="Y3:Z3"/>
    <mergeCell ref="AB3:AC3"/>
    <mergeCell ref="AE3:AF3"/>
    <mergeCell ref="D14:E14"/>
    <mergeCell ref="G14:H14"/>
    <mergeCell ref="J14:K14"/>
    <mergeCell ref="M14:N14"/>
    <mergeCell ref="P14:Q14"/>
    <mergeCell ref="S14:T14"/>
    <mergeCell ref="V14:W14"/>
    <mergeCell ref="Y14:Z14"/>
    <mergeCell ref="AB14:AC14"/>
    <mergeCell ref="AE14:AF14"/>
    <mergeCell ref="V2:W2"/>
    <mergeCell ref="Y2:Z2"/>
    <mergeCell ref="AB2:AC2"/>
    <mergeCell ref="AE2:AF2"/>
    <mergeCell ref="D3:E3"/>
    <mergeCell ref="G3:H3"/>
    <mergeCell ref="J3:K3"/>
    <mergeCell ref="M3:N3"/>
    <mergeCell ref="P3:Q3"/>
    <mergeCell ref="S3:T3"/>
    <mergeCell ref="D2:E2"/>
    <mergeCell ref="G2:H2"/>
    <mergeCell ref="J2:K2"/>
    <mergeCell ref="M2:N2"/>
    <mergeCell ref="P2:Q2"/>
    <mergeCell ref="S2:T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E9375-C17F-49B6-82E5-D7862D7B9676}">
  <dimension ref="B2:S28"/>
  <sheetViews>
    <sheetView showGridLines="0" showZeros="0" zoomScale="115" zoomScaleNormal="115" workbookViewId="0">
      <selection activeCell="O35" sqref="O35"/>
    </sheetView>
  </sheetViews>
  <sheetFormatPr defaultRowHeight="15" x14ac:dyDescent="0.25"/>
  <cols>
    <col min="1" max="1" width="2.5703125" customWidth="1"/>
    <col min="2" max="2" width="15.5703125" style="1" customWidth="1"/>
    <col min="3" max="3" width="1.140625" customWidth="1"/>
    <col min="4" max="5" width="8.5703125" style="5" customWidth="1"/>
    <col min="6" max="6" width="1.28515625" style="3" customWidth="1"/>
    <col min="7" max="8" width="8.5703125" style="5" customWidth="1"/>
    <col min="9" max="9" width="9.140625" style="5" customWidth="1"/>
    <col min="10" max="10" width="10.42578125" style="5" customWidth="1"/>
    <col min="11" max="11" width="1.28515625" style="3" customWidth="1"/>
    <col min="12" max="12" width="8.85546875" style="5" customWidth="1"/>
    <col min="13" max="13" width="11.42578125" style="5" customWidth="1"/>
    <col min="14" max="14" width="1.28515625" style="3" customWidth="1"/>
    <col min="15" max="16" width="8.5703125" style="5" customWidth="1"/>
    <col min="17" max="17" width="9.28515625" style="5" customWidth="1"/>
    <col min="18" max="18" width="10.140625" style="5" customWidth="1"/>
    <col min="19" max="19" width="1.28515625" style="3" customWidth="1"/>
    <col min="20" max="20" width="13.7109375" customWidth="1"/>
  </cols>
  <sheetData>
    <row r="2" spans="2:19" s="106" customFormat="1" ht="22.15" customHeight="1" x14ac:dyDescent="0.25">
      <c r="B2" s="215" t="s">
        <v>54</v>
      </c>
      <c r="C2" s="215"/>
      <c r="D2" s="215"/>
      <c r="E2" s="215"/>
      <c r="F2" s="215"/>
      <c r="G2" s="215"/>
      <c r="H2" s="215"/>
      <c r="I2" s="215"/>
      <c r="J2" s="215"/>
      <c r="K2" s="215"/>
      <c r="L2" s="215"/>
      <c r="M2" s="215"/>
      <c r="N2" s="215"/>
      <c r="O2" s="215"/>
      <c r="P2" s="215"/>
      <c r="Q2" s="215"/>
      <c r="R2" s="215"/>
      <c r="S2" s="107"/>
    </row>
    <row r="4" spans="2:19" ht="24" customHeight="1" x14ac:dyDescent="0.25">
      <c r="B4" s="108" t="s">
        <v>52</v>
      </c>
      <c r="C4" s="74"/>
      <c r="D4" s="211" t="s">
        <v>5</v>
      </c>
      <c r="E4" s="212"/>
      <c r="F4" s="80"/>
      <c r="G4" s="211" t="s">
        <v>43</v>
      </c>
      <c r="H4" s="212"/>
      <c r="I4" s="160" t="s">
        <v>50</v>
      </c>
      <c r="J4" s="160"/>
      <c r="K4" s="81"/>
      <c r="L4" s="211" t="s">
        <v>51</v>
      </c>
      <c r="M4" s="212"/>
      <c r="N4" s="77"/>
      <c r="O4" s="213" t="s">
        <v>8</v>
      </c>
      <c r="P4" s="214"/>
      <c r="Q4" s="209" t="s">
        <v>42</v>
      </c>
      <c r="R4" s="210"/>
      <c r="S4" s="83"/>
    </row>
    <row r="5" spans="2:19" x14ac:dyDescent="0.25">
      <c r="B5" s="73" t="s">
        <v>11</v>
      </c>
      <c r="C5" s="74"/>
      <c r="D5" s="75">
        <v>3250</v>
      </c>
      <c r="E5" s="75">
        <v>3250</v>
      </c>
      <c r="F5" s="77"/>
      <c r="G5" s="75"/>
      <c r="H5" s="76">
        <v>7000</v>
      </c>
      <c r="I5" s="84">
        <f t="shared" ref="I5:J11" si="0">+$I$13/$L$13*L5</f>
        <v>3208.333333333333</v>
      </c>
      <c r="J5" s="100">
        <f t="shared" si="0"/>
        <v>0</v>
      </c>
      <c r="K5" s="82"/>
      <c r="L5" s="78">
        <v>96</v>
      </c>
      <c r="M5" s="79"/>
      <c r="N5" s="48"/>
      <c r="O5" s="98"/>
      <c r="P5" s="85"/>
      <c r="Q5" s="84">
        <f>+I5-O5</f>
        <v>3208.333333333333</v>
      </c>
      <c r="R5" s="100">
        <f t="shared" ref="R5:R11" si="1">+J5-P5</f>
        <v>0</v>
      </c>
      <c r="S5" s="83"/>
    </row>
    <row r="6" spans="2:19" x14ac:dyDescent="0.25">
      <c r="B6" s="73" t="s">
        <v>13</v>
      </c>
      <c r="C6" s="74"/>
      <c r="D6" s="75">
        <v>3250</v>
      </c>
      <c r="E6" s="75">
        <v>3250</v>
      </c>
      <c r="F6" s="77"/>
      <c r="G6" s="75"/>
      <c r="H6" s="75"/>
      <c r="I6" s="84">
        <f t="shared" si="0"/>
        <v>3208.333333333333</v>
      </c>
      <c r="J6" s="101">
        <f t="shared" si="0"/>
        <v>3208.333333333333</v>
      </c>
      <c r="K6" s="82"/>
      <c r="L6" s="78">
        <v>96</v>
      </c>
      <c r="M6" s="78">
        <v>96</v>
      </c>
      <c r="N6" s="48"/>
      <c r="O6" s="98">
        <v>1750</v>
      </c>
      <c r="P6" s="86">
        <v>1750</v>
      </c>
      <c r="Q6" s="84">
        <f t="shared" ref="Q6:Q11" si="2">+I6-O6</f>
        <v>1458.333333333333</v>
      </c>
      <c r="R6" s="101">
        <f t="shared" si="1"/>
        <v>1458.333333333333</v>
      </c>
      <c r="S6" s="83"/>
    </row>
    <row r="7" spans="2:19" x14ac:dyDescent="0.25">
      <c r="B7" s="73" t="s">
        <v>14</v>
      </c>
      <c r="C7" s="74"/>
      <c r="D7" s="75">
        <v>3250</v>
      </c>
      <c r="E7" s="75">
        <v>3250</v>
      </c>
      <c r="F7" s="77"/>
      <c r="G7" s="75"/>
      <c r="H7" s="75"/>
      <c r="I7" s="84">
        <f t="shared" si="0"/>
        <v>3208.333333333333</v>
      </c>
      <c r="J7" s="101">
        <f t="shared" si="0"/>
        <v>3208.333333333333</v>
      </c>
      <c r="K7" s="82"/>
      <c r="L7" s="78">
        <v>96</v>
      </c>
      <c r="M7" s="78">
        <v>96</v>
      </c>
      <c r="N7" s="48"/>
      <c r="O7" s="98">
        <v>1750</v>
      </c>
      <c r="P7" s="86">
        <v>1750</v>
      </c>
      <c r="Q7" s="84">
        <f t="shared" si="2"/>
        <v>1458.333333333333</v>
      </c>
      <c r="R7" s="101">
        <f t="shared" si="1"/>
        <v>1458.333333333333</v>
      </c>
      <c r="S7" s="83"/>
    </row>
    <row r="8" spans="2:19" x14ac:dyDescent="0.25">
      <c r="B8" s="73" t="s">
        <v>15</v>
      </c>
      <c r="C8" s="74"/>
      <c r="D8" s="75">
        <v>3250</v>
      </c>
      <c r="E8" s="75">
        <v>3250</v>
      </c>
      <c r="F8" s="77"/>
      <c r="G8" s="75"/>
      <c r="H8" s="75"/>
      <c r="I8" s="84">
        <f t="shared" si="0"/>
        <v>3208.333333333333</v>
      </c>
      <c r="J8" s="101">
        <f t="shared" si="0"/>
        <v>3208.333333333333</v>
      </c>
      <c r="K8" s="82"/>
      <c r="L8" s="78">
        <v>96</v>
      </c>
      <c r="M8" s="78">
        <v>96</v>
      </c>
      <c r="N8" s="48"/>
      <c r="O8" s="98">
        <v>1750</v>
      </c>
      <c r="P8" s="86">
        <v>1750</v>
      </c>
      <c r="Q8" s="84">
        <f t="shared" si="2"/>
        <v>1458.333333333333</v>
      </c>
      <c r="R8" s="101">
        <f t="shared" si="1"/>
        <v>1458.333333333333</v>
      </c>
      <c r="S8" s="83"/>
    </row>
    <row r="9" spans="2:19" x14ac:dyDescent="0.25">
      <c r="B9" s="73" t="s">
        <v>16</v>
      </c>
      <c r="C9" s="74"/>
      <c r="D9" s="75">
        <v>3250</v>
      </c>
      <c r="E9" s="75">
        <v>3250</v>
      </c>
      <c r="F9" s="77"/>
      <c r="G9" s="75"/>
      <c r="H9" s="75"/>
      <c r="I9" s="84">
        <f t="shared" si="0"/>
        <v>3208.333333333333</v>
      </c>
      <c r="J9" s="101">
        <f t="shared" si="0"/>
        <v>3208.333333333333</v>
      </c>
      <c r="K9" s="82"/>
      <c r="L9" s="78">
        <v>96</v>
      </c>
      <c r="M9" s="78">
        <v>96</v>
      </c>
      <c r="N9" s="48"/>
      <c r="O9" s="98">
        <v>1750</v>
      </c>
      <c r="P9" s="86">
        <v>1750</v>
      </c>
      <c r="Q9" s="84">
        <f t="shared" si="2"/>
        <v>1458.333333333333</v>
      </c>
      <c r="R9" s="101">
        <f t="shared" si="1"/>
        <v>1458.333333333333</v>
      </c>
      <c r="S9" s="83"/>
    </row>
    <row r="10" spans="2:19" x14ac:dyDescent="0.25">
      <c r="B10" s="73" t="s">
        <v>17</v>
      </c>
      <c r="C10" s="74"/>
      <c r="D10" s="75">
        <v>3250</v>
      </c>
      <c r="E10" s="75">
        <v>3250</v>
      </c>
      <c r="F10" s="77"/>
      <c r="G10" s="75"/>
      <c r="H10" s="75"/>
      <c r="I10" s="84">
        <f t="shared" si="0"/>
        <v>2406.25</v>
      </c>
      <c r="J10" s="101">
        <f t="shared" si="0"/>
        <v>2406.25</v>
      </c>
      <c r="K10" s="82"/>
      <c r="L10" s="78">
        <v>72</v>
      </c>
      <c r="M10" s="78">
        <v>72</v>
      </c>
      <c r="N10" s="48"/>
      <c r="O10" s="98">
        <v>1750</v>
      </c>
      <c r="P10" s="86">
        <v>1750</v>
      </c>
      <c r="Q10" s="84">
        <f t="shared" si="2"/>
        <v>656.25</v>
      </c>
      <c r="R10" s="101">
        <f t="shared" si="1"/>
        <v>656.25</v>
      </c>
      <c r="S10" s="83"/>
    </row>
    <row r="11" spans="2:19" x14ac:dyDescent="0.25">
      <c r="B11" s="73" t="s">
        <v>18</v>
      </c>
      <c r="C11" s="74"/>
      <c r="D11" s="75">
        <v>3250</v>
      </c>
      <c r="E11" s="75">
        <v>3250</v>
      </c>
      <c r="F11" s="77"/>
      <c r="G11" s="75"/>
      <c r="H11" s="75"/>
      <c r="I11" s="84">
        <f t="shared" si="0"/>
        <v>2406.25</v>
      </c>
      <c r="J11" s="101">
        <f t="shared" si="0"/>
        <v>2406.25</v>
      </c>
      <c r="K11" s="82"/>
      <c r="L11" s="78">
        <v>72</v>
      </c>
      <c r="M11" s="78">
        <v>72</v>
      </c>
      <c r="N11" s="48"/>
      <c r="O11" s="98">
        <v>875</v>
      </c>
      <c r="P11" s="86">
        <v>875</v>
      </c>
      <c r="Q11" s="84">
        <f t="shared" si="2"/>
        <v>1531.25</v>
      </c>
      <c r="R11" s="101">
        <f t="shared" si="1"/>
        <v>1531.25</v>
      </c>
      <c r="S11" s="83"/>
    </row>
    <row r="12" spans="2:19" ht="15.75" thickBot="1" x14ac:dyDescent="0.3">
      <c r="B12" s="92" t="s">
        <v>41</v>
      </c>
      <c r="C12" s="93"/>
      <c r="D12" s="205"/>
      <c r="E12" s="206"/>
      <c r="F12" s="94"/>
      <c r="G12" s="205"/>
      <c r="H12" s="206"/>
      <c r="I12" s="176"/>
      <c r="J12" s="177"/>
      <c r="K12" s="95"/>
      <c r="L12" s="97"/>
      <c r="M12" s="97"/>
      <c r="N12" s="60"/>
      <c r="O12" s="102"/>
      <c r="P12" s="103"/>
      <c r="Q12" s="104"/>
      <c r="R12" s="105"/>
      <c r="S12" s="96"/>
    </row>
    <row r="13" spans="2:19" ht="15.75" thickTop="1" x14ac:dyDescent="0.25">
      <c r="B13" s="165"/>
      <c r="C13" s="88"/>
      <c r="D13" s="196">
        <f>SUM(D5:E12)</f>
        <v>45500</v>
      </c>
      <c r="E13" s="197"/>
      <c r="F13" s="89"/>
      <c r="G13" s="196">
        <f>SUM(G5:H12)</f>
        <v>7000</v>
      </c>
      <c r="H13" s="197"/>
      <c r="I13" s="207">
        <f>+D13-G13</f>
        <v>38500</v>
      </c>
      <c r="J13" s="208"/>
      <c r="K13" s="90"/>
      <c r="L13" s="194">
        <f>SUM(L5:M12)</f>
        <v>1152</v>
      </c>
      <c r="M13" s="195"/>
      <c r="N13" s="48"/>
      <c r="O13" s="196">
        <f>SUM(O5:P12)</f>
        <v>19250</v>
      </c>
      <c r="P13" s="197"/>
      <c r="Q13" s="196">
        <f>SUM(Q5:R12)</f>
        <v>19249.999999999993</v>
      </c>
      <c r="R13" s="197"/>
      <c r="S13" s="91"/>
    </row>
    <row r="14" spans="2:19" x14ac:dyDescent="0.25">
      <c r="B14" s="166"/>
      <c r="C14" s="74"/>
      <c r="D14" s="178"/>
      <c r="E14" s="179"/>
      <c r="F14" s="77"/>
      <c r="G14" s="198">
        <f>SUM(G13:J13)</f>
        <v>45500</v>
      </c>
      <c r="H14" s="172"/>
      <c r="I14" s="172"/>
      <c r="J14" s="199"/>
      <c r="K14" s="82"/>
      <c r="L14" s="200">
        <f>+I13/L13*1000</f>
        <v>33420.138888888883</v>
      </c>
      <c r="M14" s="201"/>
      <c r="N14" s="48"/>
      <c r="O14" s="202">
        <f>SUM(O13:R13)</f>
        <v>38499.999999999993</v>
      </c>
      <c r="P14" s="203"/>
      <c r="Q14" s="203"/>
      <c r="R14" s="204"/>
      <c r="S14" s="83"/>
    </row>
    <row r="16" spans="2:19" ht="24" customHeight="1" x14ac:dyDescent="0.25">
      <c r="B16" s="108" t="s">
        <v>53</v>
      </c>
      <c r="C16" s="74"/>
      <c r="D16" s="211" t="s">
        <v>5</v>
      </c>
      <c r="E16" s="212"/>
      <c r="F16" s="80"/>
      <c r="G16" s="211" t="s">
        <v>43</v>
      </c>
      <c r="H16" s="212"/>
      <c r="I16" s="160" t="s">
        <v>50</v>
      </c>
      <c r="J16" s="160"/>
      <c r="K16" s="81"/>
      <c r="L16" s="211" t="s">
        <v>51</v>
      </c>
      <c r="M16" s="212"/>
      <c r="N16" s="77"/>
      <c r="O16" s="213" t="s">
        <v>8</v>
      </c>
      <c r="P16" s="214"/>
      <c r="Q16" s="209" t="s">
        <v>42</v>
      </c>
      <c r="R16" s="210"/>
      <c r="S16" s="83"/>
    </row>
    <row r="17" spans="2:19" x14ac:dyDescent="0.25">
      <c r="B17" s="73" t="s">
        <v>11</v>
      </c>
      <c r="C17" s="74"/>
      <c r="D17" s="75">
        <v>3250</v>
      </c>
      <c r="E17" s="75">
        <v>3250</v>
      </c>
      <c r="F17" s="77"/>
      <c r="G17" s="75"/>
      <c r="H17" s="75"/>
      <c r="I17" s="84">
        <f>+$I$25/$L$25*L17</f>
        <v>3508.3465818759942</v>
      </c>
      <c r="J17" s="101">
        <f t="shared" ref="J17:J23" si="3">+$I$25/$L$25*M17</f>
        <v>3508.3465818759942</v>
      </c>
      <c r="K17" s="82"/>
      <c r="L17" s="78">
        <v>97</v>
      </c>
      <c r="M17" s="78">
        <v>97</v>
      </c>
      <c r="N17" s="48"/>
      <c r="O17" s="98"/>
      <c r="P17" s="86"/>
      <c r="Q17" s="84">
        <f>+I17-O17</f>
        <v>3508.3465818759942</v>
      </c>
      <c r="R17" s="101">
        <f t="shared" ref="R17:R23" si="4">+J17-P17</f>
        <v>3508.3465818759942</v>
      </c>
      <c r="S17" s="83"/>
    </row>
    <row r="18" spans="2:19" x14ac:dyDescent="0.25">
      <c r="B18" s="73" t="s">
        <v>13</v>
      </c>
      <c r="C18" s="74"/>
      <c r="D18" s="75">
        <v>3250</v>
      </c>
      <c r="E18" s="75">
        <v>3250</v>
      </c>
      <c r="F18" s="77"/>
      <c r="G18" s="75"/>
      <c r="H18" s="75"/>
      <c r="I18" s="84">
        <f t="shared" ref="I18:I23" si="5">+$I$25/$L$25*L18</f>
        <v>3508.3465818759942</v>
      </c>
      <c r="J18" s="101">
        <f t="shared" si="3"/>
        <v>3508.3465818759942</v>
      </c>
      <c r="K18" s="82"/>
      <c r="L18" s="78">
        <v>97</v>
      </c>
      <c r="M18" s="78">
        <v>97</v>
      </c>
      <c r="N18" s="48"/>
      <c r="O18" s="98">
        <v>1750</v>
      </c>
      <c r="P18" s="86">
        <v>1750</v>
      </c>
      <c r="Q18" s="84">
        <f t="shared" ref="Q18:Q23" si="6">+I18-O18</f>
        <v>1758.3465818759942</v>
      </c>
      <c r="R18" s="101">
        <f t="shared" si="4"/>
        <v>1758.3465818759942</v>
      </c>
      <c r="S18" s="83"/>
    </row>
    <row r="19" spans="2:19" x14ac:dyDescent="0.25">
      <c r="B19" s="73" t="s">
        <v>14</v>
      </c>
      <c r="C19" s="74"/>
      <c r="D19" s="75">
        <v>3250</v>
      </c>
      <c r="E19" s="75">
        <v>3250</v>
      </c>
      <c r="F19" s="77"/>
      <c r="G19" s="75"/>
      <c r="H19" s="75"/>
      <c r="I19" s="84">
        <f t="shared" si="5"/>
        <v>3508.3465818759942</v>
      </c>
      <c r="J19" s="101">
        <f t="shared" si="3"/>
        <v>3508.3465818759942</v>
      </c>
      <c r="K19" s="82"/>
      <c r="L19" s="78">
        <v>97</v>
      </c>
      <c r="M19" s="78">
        <v>97</v>
      </c>
      <c r="N19" s="48"/>
      <c r="O19" s="98">
        <v>1750</v>
      </c>
      <c r="P19" s="86">
        <v>1750</v>
      </c>
      <c r="Q19" s="84">
        <f t="shared" si="6"/>
        <v>1758.3465818759942</v>
      </c>
      <c r="R19" s="101">
        <f t="shared" si="4"/>
        <v>1758.3465818759942</v>
      </c>
      <c r="S19" s="83"/>
    </row>
    <row r="20" spans="2:19" x14ac:dyDescent="0.25">
      <c r="B20" s="73" t="s">
        <v>15</v>
      </c>
      <c r="C20" s="74"/>
      <c r="D20" s="75">
        <v>3250</v>
      </c>
      <c r="E20" s="75">
        <v>3250</v>
      </c>
      <c r="F20" s="77"/>
      <c r="G20" s="75"/>
      <c r="H20" s="75"/>
      <c r="I20" s="84">
        <f t="shared" si="5"/>
        <v>3508.3465818759942</v>
      </c>
      <c r="J20" s="101">
        <f t="shared" si="3"/>
        <v>3508.3465818759942</v>
      </c>
      <c r="K20" s="82"/>
      <c r="L20" s="78">
        <v>97</v>
      </c>
      <c r="M20" s="78">
        <v>97</v>
      </c>
      <c r="N20" s="48"/>
      <c r="O20" s="98">
        <v>1750</v>
      </c>
      <c r="P20" s="86">
        <v>1750</v>
      </c>
      <c r="Q20" s="84">
        <f t="shared" si="6"/>
        <v>1758.3465818759942</v>
      </c>
      <c r="R20" s="101">
        <f t="shared" si="4"/>
        <v>1758.3465818759942</v>
      </c>
      <c r="S20" s="83"/>
    </row>
    <row r="21" spans="2:19" x14ac:dyDescent="0.25">
      <c r="B21" s="73" t="s">
        <v>16</v>
      </c>
      <c r="C21" s="74"/>
      <c r="D21" s="75">
        <v>3250</v>
      </c>
      <c r="E21" s="75">
        <v>3250</v>
      </c>
      <c r="F21" s="77"/>
      <c r="G21" s="75"/>
      <c r="H21" s="75"/>
      <c r="I21" s="84">
        <f t="shared" si="5"/>
        <v>3508.3465818759942</v>
      </c>
      <c r="J21" s="101">
        <f t="shared" si="3"/>
        <v>3508.3465818759942</v>
      </c>
      <c r="K21" s="82"/>
      <c r="L21" s="78">
        <v>97</v>
      </c>
      <c r="M21" s="78">
        <v>97</v>
      </c>
      <c r="N21" s="48"/>
      <c r="O21" s="98">
        <v>1750</v>
      </c>
      <c r="P21" s="86">
        <v>1750</v>
      </c>
      <c r="Q21" s="84">
        <f t="shared" si="6"/>
        <v>1758.3465818759942</v>
      </c>
      <c r="R21" s="101">
        <f t="shared" si="4"/>
        <v>1758.3465818759942</v>
      </c>
      <c r="S21" s="83"/>
    </row>
    <row r="22" spans="2:19" x14ac:dyDescent="0.25">
      <c r="B22" s="73" t="s">
        <v>17</v>
      </c>
      <c r="C22" s="74"/>
      <c r="D22" s="75">
        <v>3250</v>
      </c>
      <c r="E22" s="75">
        <v>3250</v>
      </c>
      <c r="F22" s="77"/>
      <c r="G22" s="75"/>
      <c r="H22" s="75"/>
      <c r="I22" s="84">
        <f t="shared" si="5"/>
        <v>2604.133545310016</v>
      </c>
      <c r="J22" s="101">
        <f t="shared" si="3"/>
        <v>2604.133545310016</v>
      </c>
      <c r="K22" s="82"/>
      <c r="L22" s="78">
        <v>72</v>
      </c>
      <c r="M22" s="78">
        <v>72</v>
      </c>
      <c r="N22" s="48"/>
      <c r="O22" s="98">
        <v>1750</v>
      </c>
      <c r="P22" s="86">
        <v>1750</v>
      </c>
      <c r="Q22" s="84">
        <f t="shared" si="6"/>
        <v>854.13354531001596</v>
      </c>
      <c r="R22" s="101">
        <f t="shared" si="4"/>
        <v>854.13354531001596</v>
      </c>
      <c r="S22" s="83"/>
    </row>
    <row r="23" spans="2:19" x14ac:dyDescent="0.25">
      <c r="B23" s="73" t="s">
        <v>18</v>
      </c>
      <c r="C23" s="74"/>
      <c r="D23" s="75">
        <v>3250</v>
      </c>
      <c r="E23" s="75">
        <v>3250</v>
      </c>
      <c r="F23" s="77"/>
      <c r="G23" s="75"/>
      <c r="H23" s="75"/>
      <c r="I23" s="84">
        <f t="shared" si="5"/>
        <v>2604.133545310016</v>
      </c>
      <c r="J23" s="101">
        <f t="shared" si="3"/>
        <v>2604.133545310016</v>
      </c>
      <c r="K23" s="82"/>
      <c r="L23" s="78">
        <v>72</v>
      </c>
      <c r="M23" s="78">
        <v>72</v>
      </c>
      <c r="N23" s="48"/>
      <c r="O23" s="98">
        <v>1750</v>
      </c>
      <c r="P23" s="86">
        <v>1750</v>
      </c>
      <c r="Q23" s="84">
        <f t="shared" si="6"/>
        <v>854.13354531001596</v>
      </c>
      <c r="R23" s="101">
        <f t="shared" si="4"/>
        <v>854.13354531001596</v>
      </c>
      <c r="S23" s="83"/>
    </row>
    <row r="24" spans="2:19" ht="15.75" thickBot="1" x14ac:dyDescent="0.3">
      <c r="B24" s="92" t="s">
        <v>41</v>
      </c>
      <c r="C24" s="93"/>
      <c r="D24" s="205"/>
      <c r="E24" s="206"/>
      <c r="F24" s="94"/>
      <c r="G24" s="205"/>
      <c r="H24" s="206"/>
      <c r="I24" s="176"/>
      <c r="J24" s="177"/>
      <c r="K24" s="95"/>
      <c r="L24" s="97"/>
      <c r="M24" s="97"/>
      <c r="N24" s="60"/>
      <c r="O24" s="102"/>
      <c r="P24" s="103"/>
      <c r="Q24" s="104"/>
      <c r="R24" s="105"/>
      <c r="S24" s="96"/>
    </row>
    <row r="25" spans="2:19" ht="15.75" thickTop="1" x14ac:dyDescent="0.25">
      <c r="B25" s="165"/>
      <c r="C25" s="88"/>
      <c r="D25" s="196">
        <f>SUM(D17:E24)</f>
        <v>45500</v>
      </c>
      <c r="E25" s="197"/>
      <c r="F25" s="89"/>
      <c r="G25" s="196">
        <f>SUM(G17:H24)</f>
        <v>0</v>
      </c>
      <c r="H25" s="197"/>
      <c r="I25" s="207">
        <f>+D25-G25</f>
        <v>45500</v>
      </c>
      <c r="J25" s="208"/>
      <c r="K25" s="90"/>
      <c r="L25" s="194">
        <f>SUM(L17:M24)</f>
        <v>1258</v>
      </c>
      <c r="M25" s="195"/>
      <c r="N25" s="48"/>
      <c r="O25" s="196">
        <f>SUM(O17:P24)</f>
        <v>21000</v>
      </c>
      <c r="P25" s="197"/>
      <c r="Q25" s="196">
        <f>SUM(Q17:R24)</f>
        <v>24500</v>
      </c>
      <c r="R25" s="197"/>
      <c r="S25" s="91"/>
    </row>
    <row r="26" spans="2:19" x14ac:dyDescent="0.25">
      <c r="B26" s="166"/>
      <c r="C26" s="74"/>
      <c r="D26" s="178"/>
      <c r="E26" s="179"/>
      <c r="F26" s="77"/>
      <c r="G26" s="198">
        <f>SUM(G25:J25)</f>
        <v>45500</v>
      </c>
      <c r="H26" s="172"/>
      <c r="I26" s="172"/>
      <c r="J26" s="199"/>
      <c r="K26" s="82"/>
      <c r="L26" s="200">
        <f>+I25/L25*1000</f>
        <v>36168.52146263911</v>
      </c>
      <c r="M26" s="201"/>
      <c r="N26" s="48"/>
      <c r="O26" s="202">
        <f>SUM(O25:R25)</f>
        <v>45500</v>
      </c>
      <c r="P26" s="203"/>
      <c r="Q26" s="203"/>
      <c r="R26" s="204"/>
      <c r="S26" s="83"/>
    </row>
    <row r="28" spans="2:19" x14ac:dyDescent="0.25">
      <c r="D28" s="71"/>
    </row>
  </sheetData>
  <mergeCells count="41">
    <mergeCell ref="B2:R2"/>
    <mergeCell ref="D4:E4"/>
    <mergeCell ref="G4:H4"/>
    <mergeCell ref="I4:J4"/>
    <mergeCell ref="L4:M4"/>
    <mergeCell ref="O4:P4"/>
    <mergeCell ref="Q4:R4"/>
    <mergeCell ref="D12:E12"/>
    <mergeCell ref="G12:H12"/>
    <mergeCell ref="I12:J12"/>
    <mergeCell ref="B13:B14"/>
    <mergeCell ref="D13:E13"/>
    <mergeCell ref="G13:H13"/>
    <mergeCell ref="I13:J13"/>
    <mergeCell ref="Q16:R16"/>
    <mergeCell ref="L13:M13"/>
    <mergeCell ref="O13:P13"/>
    <mergeCell ref="Q13:R13"/>
    <mergeCell ref="D14:E14"/>
    <mergeCell ref="G14:J14"/>
    <mergeCell ref="L14:M14"/>
    <mergeCell ref="O14:R14"/>
    <mergeCell ref="D16:E16"/>
    <mergeCell ref="G16:H16"/>
    <mergeCell ref="I16:J16"/>
    <mergeCell ref="L16:M16"/>
    <mergeCell ref="O16:P16"/>
    <mergeCell ref="D24:E24"/>
    <mergeCell ref="G24:H24"/>
    <mergeCell ref="I24:J24"/>
    <mergeCell ref="B25:B26"/>
    <mergeCell ref="D25:E25"/>
    <mergeCell ref="G25:H25"/>
    <mergeCell ref="I25:J25"/>
    <mergeCell ref="L25:M25"/>
    <mergeCell ref="O25:P25"/>
    <mergeCell ref="Q25:R25"/>
    <mergeCell ref="D26:E26"/>
    <mergeCell ref="G26:J26"/>
    <mergeCell ref="L26:M26"/>
    <mergeCell ref="O26:R2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8A6B-57BB-4183-A931-33CD565223DC}">
  <sheetPr>
    <tabColor rgb="FF92D050"/>
  </sheetPr>
  <dimension ref="B2:S30"/>
  <sheetViews>
    <sheetView showGridLines="0" showZeros="0" zoomScale="115" zoomScaleNormal="115" workbookViewId="0">
      <selection activeCell="T34" sqref="T34"/>
    </sheetView>
  </sheetViews>
  <sheetFormatPr defaultRowHeight="15" x14ac:dyDescent="0.25"/>
  <cols>
    <col min="1" max="1" width="2.5703125" customWidth="1"/>
    <col min="2" max="2" width="15.5703125" style="1" customWidth="1"/>
    <col min="3" max="3" width="1.140625" customWidth="1"/>
    <col min="4" max="5" width="8.5703125" style="5" customWidth="1"/>
    <col min="6" max="6" width="1.28515625" style="3" customWidth="1"/>
    <col min="7" max="8" width="8.5703125" style="5" customWidth="1"/>
    <col min="9" max="9" width="9.140625" style="5" customWidth="1"/>
    <col min="10" max="10" width="10.42578125" style="5" customWidth="1"/>
    <col min="11" max="11" width="1.28515625" style="3" customWidth="1"/>
    <col min="12" max="12" width="8.85546875" style="5" customWidth="1"/>
    <col min="13" max="13" width="11.42578125" style="5" customWidth="1"/>
    <col min="14" max="14" width="1.28515625" style="3" customWidth="1"/>
    <col min="15" max="16" width="8.5703125" style="5" customWidth="1"/>
    <col min="17" max="17" width="9.28515625" style="5" customWidth="1"/>
    <col min="18" max="18" width="10.140625" style="5" customWidth="1"/>
    <col min="19" max="19" width="1.28515625" style="3" customWidth="1"/>
    <col min="20" max="20" width="13.7109375" customWidth="1"/>
  </cols>
  <sheetData>
    <row r="2" spans="2:19" s="106" customFormat="1" ht="22.15" customHeight="1" x14ac:dyDescent="0.25">
      <c r="B2" s="215" t="s">
        <v>55</v>
      </c>
      <c r="C2" s="215"/>
      <c r="D2" s="215"/>
      <c r="E2" s="215"/>
      <c r="F2" s="215"/>
      <c r="G2" s="215"/>
      <c r="H2" s="215"/>
      <c r="I2" s="215"/>
      <c r="J2" s="215"/>
      <c r="K2" s="215"/>
      <c r="L2" s="215"/>
      <c r="M2" s="215"/>
      <c r="N2" s="215"/>
      <c r="O2" s="215"/>
      <c r="P2" s="215"/>
      <c r="Q2" s="215"/>
      <c r="R2" s="215"/>
      <c r="S2" s="107"/>
    </row>
    <row r="4" spans="2:19" ht="24" customHeight="1" x14ac:dyDescent="0.25">
      <c r="B4" s="108" t="s">
        <v>52</v>
      </c>
      <c r="C4" s="74"/>
      <c r="D4" s="211" t="s">
        <v>5</v>
      </c>
      <c r="E4" s="212"/>
      <c r="F4" s="80"/>
      <c r="G4" s="211" t="s">
        <v>43</v>
      </c>
      <c r="H4" s="212"/>
      <c r="I4" s="160" t="s">
        <v>50</v>
      </c>
      <c r="J4" s="160"/>
      <c r="K4" s="81"/>
      <c r="L4" s="211" t="s">
        <v>51</v>
      </c>
      <c r="M4" s="212"/>
      <c r="N4" s="77"/>
      <c r="O4" s="213" t="s">
        <v>8</v>
      </c>
      <c r="P4" s="214"/>
      <c r="Q4" s="209" t="s">
        <v>42</v>
      </c>
      <c r="R4" s="210"/>
      <c r="S4" s="83"/>
    </row>
    <row r="5" spans="2:19" x14ac:dyDescent="0.25">
      <c r="B5" s="73" t="s">
        <v>11</v>
      </c>
      <c r="C5" s="74"/>
      <c r="D5" s="75">
        <v>3250</v>
      </c>
      <c r="E5" s="76">
        <v>3250</v>
      </c>
      <c r="F5" s="77"/>
      <c r="G5" s="75"/>
      <c r="H5" s="76">
        <v>7000</v>
      </c>
      <c r="I5" s="84">
        <f>+$I$14/$L$14*L5</f>
        <v>2416.6666666666665</v>
      </c>
      <c r="J5" s="100">
        <f t="shared" ref="J5:J12" si="0">+$I$14/$L$14*M5</f>
        <v>0</v>
      </c>
      <c r="K5" s="82"/>
      <c r="L5" s="78">
        <v>96</v>
      </c>
      <c r="M5" s="79"/>
      <c r="N5" s="48"/>
      <c r="O5" s="98"/>
      <c r="P5" s="85"/>
      <c r="Q5" s="84">
        <f>+I5-O5</f>
        <v>2416.6666666666665</v>
      </c>
      <c r="R5" s="100">
        <f t="shared" ref="R5:R12" si="1">+J5-P5</f>
        <v>0</v>
      </c>
      <c r="S5" s="83"/>
    </row>
    <row r="6" spans="2:19" x14ac:dyDescent="0.25">
      <c r="B6" s="73" t="s">
        <v>12</v>
      </c>
      <c r="C6" s="74"/>
      <c r="D6" s="75">
        <v>3250</v>
      </c>
      <c r="E6" s="75">
        <v>3250</v>
      </c>
      <c r="F6" s="77"/>
      <c r="G6" s="75"/>
      <c r="H6" s="75"/>
      <c r="I6" s="84">
        <f t="shared" ref="I6:I12" si="2">+$I$14/$L$14*L6</f>
        <v>2416.6666666666665</v>
      </c>
      <c r="J6" s="101">
        <f t="shared" si="0"/>
        <v>2416.6666666666665</v>
      </c>
      <c r="K6" s="82"/>
      <c r="L6" s="78">
        <v>96</v>
      </c>
      <c r="M6" s="78">
        <v>96</v>
      </c>
      <c r="N6" s="48"/>
      <c r="O6" s="98">
        <v>1750</v>
      </c>
      <c r="P6" s="86">
        <v>1750</v>
      </c>
      <c r="Q6" s="84">
        <f t="shared" ref="Q6:Q12" si="3">+I6-O6</f>
        <v>666.66666666666652</v>
      </c>
      <c r="R6" s="101">
        <f t="shared" si="1"/>
        <v>666.66666666666652</v>
      </c>
      <c r="S6" s="83"/>
    </row>
    <row r="7" spans="2:19" x14ac:dyDescent="0.25">
      <c r="B7" s="73" t="s">
        <v>13</v>
      </c>
      <c r="C7" s="74"/>
      <c r="D7" s="76">
        <v>3250</v>
      </c>
      <c r="E7" s="76">
        <v>3250</v>
      </c>
      <c r="F7" s="77"/>
      <c r="G7" s="76">
        <v>8000</v>
      </c>
      <c r="H7" s="76">
        <v>8000</v>
      </c>
      <c r="I7" s="87">
        <f t="shared" si="2"/>
        <v>0</v>
      </c>
      <c r="J7" s="100">
        <f t="shared" si="0"/>
        <v>0</v>
      </c>
      <c r="K7" s="82"/>
      <c r="L7" s="79"/>
      <c r="M7" s="79"/>
      <c r="N7" s="48"/>
      <c r="O7" s="99"/>
      <c r="P7" s="85"/>
      <c r="Q7" s="87">
        <f t="shared" si="3"/>
        <v>0</v>
      </c>
      <c r="R7" s="100">
        <f t="shared" si="1"/>
        <v>0</v>
      </c>
      <c r="S7" s="83"/>
    </row>
    <row r="8" spans="2:19" x14ac:dyDescent="0.25">
      <c r="B8" s="73" t="s">
        <v>14</v>
      </c>
      <c r="C8" s="74"/>
      <c r="D8" s="75">
        <v>3250</v>
      </c>
      <c r="E8" s="75">
        <v>3250</v>
      </c>
      <c r="F8" s="77"/>
      <c r="G8" s="75"/>
      <c r="H8" s="75"/>
      <c r="I8" s="84">
        <f t="shared" si="2"/>
        <v>2416.6666666666665</v>
      </c>
      <c r="J8" s="101">
        <f t="shared" si="0"/>
        <v>2416.6666666666665</v>
      </c>
      <c r="K8" s="82"/>
      <c r="L8" s="78">
        <v>96</v>
      </c>
      <c r="M8" s="78">
        <v>96</v>
      </c>
      <c r="N8" s="48"/>
      <c r="O8" s="98">
        <v>1750</v>
      </c>
      <c r="P8" s="86">
        <v>1750</v>
      </c>
      <c r="Q8" s="84">
        <f t="shared" si="3"/>
        <v>666.66666666666652</v>
      </c>
      <c r="R8" s="101">
        <f t="shared" si="1"/>
        <v>666.66666666666652</v>
      </c>
      <c r="S8" s="83"/>
    </row>
    <row r="9" spans="2:19" x14ac:dyDescent="0.25">
      <c r="B9" s="73" t="s">
        <v>15</v>
      </c>
      <c r="C9" s="74"/>
      <c r="D9" s="75">
        <v>3250</v>
      </c>
      <c r="E9" s="75">
        <v>3250</v>
      </c>
      <c r="F9" s="77"/>
      <c r="G9" s="75"/>
      <c r="H9" s="75"/>
      <c r="I9" s="84">
        <f t="shared" si="2"/>
        <v>2416.6666666666665</v>
      </c>
      <c r="J9" s="101">
        <f t="shared" si="0"/>
        <v>2416.6666666666665</v>
      </c>
      <c r="K9" s="82"/>
      <c r="L9" s="78">
        <v>96</v>
      </c>
      <c r="M9" s="78">
        <v>96</v>
      </c>
      <c r="N9" s="48"/>
      <c r="O9" s="98">
        <v>1750</v>
      </c>
      <c r="P9" s="86">
        <v>1750</v>
      </c>
      <c r="Q9" s="84">
        <f t="shared" si="3"/>
        <v>666.66666666666652</v>
      </c>
      <c r="R9" s="101">
        <f t="shared" si="1"/>
        <v>666.66666666666652</v>
      </c>
      <c r="S9" s="83"/>
    </row>
    <row r="10" spans="2:19" x14ac:dyDescent="0.25">
      <c r="B10" s="73" t="s">
        <v>16</v>
      </c>
      <c r="C10" s="74"/>
      <c r="D10" s="75">
        <v>3250</v>
      </c>
      <c r="E10" s="75">
        <v>3250</v>
      </c>
      <c r="F10" s="77"/>
      <c r="G10" s="75"/>
      <c r="H10" s="75"/>
      <c r="I10" s="84">
        <f t="shared" si="2"/>
        <v>2416.6666666666665</v>
      </c>
      <c r="J10" s="101">
        <f t="shared" si="0"/>
        <v>2416.6666666666665</v>
      </c>
      <c r="K10" s="82"/>
      <c r="L10" s="78">
        <v>96</v>
      </c>
      <c r="M10" s="78">
        <v>96</v>
      </c>
      <c r="N10" s="48"/>
      <c r="O10" s="98">
        <v>1750</v>
      </c>
      <c r="P10" s="86">
        <v>1750</v>
      </c>
      <c r="Q10" s="84">
        <f t="shared" si="3"/>
        <v>666.66666666666652</v>
      </c>
      <c r="R10" s="101">
        <f t="shared" si="1"/>
        <v>666.66666666666652</v>
      </c>
      <c r="S10" s="83"/>
    </row>
    <row r="11" spans="2:19" x14ac:dyDescent="0.25">
      <c r="B11" s="73" t="s">
        <v>17</v>
      </c>
      <c r="C11" s="74"/>
      <c r="D11" s="75">
        <v>3250</v>
      </c>
      <c r="E11" s="75">
        <v>3250</v>
      </c>
      <c r="F11" s="77"/>
      <c r="G11" s="75"/>
      <c r="H11" s="75"/>
      <c r="I11" s="84">
        <f t="shared" si="2"/>
        <v>1812.5</v>
      </c>
      <c r="J11" s="101">
        <f t="shared" si="0"/>
        <v>1812.5</v>
      </c>
      <c r="K11" s="82"/>
      <c r="L11" s="78">
        <v>72</v>
      </c>
      <c r="M11" s="78">
        <v>72</v>
      </c>
      <c r="N11" s="48"/>
      <c r="O11" s="98">
        <v>1750</v>
      </c>
      <c r="P11" s="86">
        <v>1750</v>
      </c>
      <c r="Q11" s="84">
        <f t="shared" si="3"/>
        <v>62.5</v>
      </c>
      <c r="R11" s="101">
        <f t="shared" si="1"/>
        <v>62.5</v>
      </c>
      <c r="S11" s="83"/>
    </row>
    <row r="12" spans="2:19" x14ac:dyDescent="0.25">
      <c r="B12" s="73" t="s">
        <v>18</v>
      </c>
      <c r="C12" s="74"/>
      <c r="D12" s="75">
        <v>3250</v>
      </c>
      <c r="E12" s="75">
        <v>3250</v>
      </c>
      <c r="F12" s="77"/>
      <c r="G12" s="75"/>
      <c r="H12" s="75"/>
      <c r="I12" s="84">
        <f t="shared" si="2"/>
        <v>1812.5</v>
      </c>
      <c r="J12" s="101">
        <f t="shared" si="0"/>
        <v>1812.5</v>
      </c>
      <c r="K12" s="82"/>
      <c r="L12" s="78">
        <v>72</v>
      </c>
      <c r="M12" s="78">
        <v>72</v>
      </c>
      <c r="N12" s="48"/>
      <c r="O12" s="98">
        <v>875</v>
      </c>
      <c r="P12" s="86">
        <v>875</v>
      </c>
      <c r="Q12" s="84">
        <f t="shared" si="3"/>
        <v>937.5</v>
      </c>
      <c r="R12" s="101">
        <f t="shared" si="1"/>
        <v>937.5</v>
      </c>
      <c r="S12" s="83"/>
    </row>
    <row r="13" spans="2:19" ht="15.75" thickBot="1" x14ac:dyDescent="0.3">
      <c r="B13" s="92" t="s">
        <v>41</v>
      </c>
      <c r="C13" s="93"/>
      <c r="D13" s="205"/>
      <c r="E13" s="206"/>
      <c r="F13" s="94"/>
      <c r="G13" s="205"/>
      <c r="H13" s="206"/>
      <c r="I13" s="176"/>
      <c r="J13" s="177"/>
      <c r="K13" s="95"/>
      <c r="L13" s="97"/>
      <c r="M13" s="97"/>
      <c r="N13" s="60"/>
      <c r="O13" s="102"/>
      <c r="P13" s="103"/>
      <c r="Q13" s="104"/>
      <c r="R13" s="105"/>
      <c r="S13" s="96"/>
    </row>
    <row r="14" spans="2:19" ht="15.75" thickTop="1" x14ac:dyDescent="0.25">
      <c r="B14" s="165"/>
      <c r="C14" s="88"/>
      <c r="D14" s="196">
        <f>SUM(D5:E13)</f>
        <v>52000</v>
      </c>
      <c r="E14" s="197"/>
      <c r="F14" s="89"/>
      <c r="G14" s="196">
        <f>SUM(G5:H13)</f>
        <v>23000</v>
      </c>
      <c r="H14" s="197"/>
      <c r="I14" s="207">
        <f>+D14-G14</f>
        <v>29000</v>
      </c>
      <c r="J14" s="208"/>
      <c r="K14" s="90"/>
      <c r="L14" s="194">
        <f>SUM(L5:M13)</f>
        <v>1152</v>
      </c>
      <c r="M14" s="195"/>
      <c r="N14" s="48"/>
      <c r="O14" s="196">
        <f>SUM(O5:P13)</f>
        <v>19250</v>
      </c>
      <c r="P14" s="197"/>
      <c r="Q14" s="196">
        <f>SUM(Q5:R13)</f>
        <v>9749.9999999999964</v>
      </c>
      <c r="R14" s="197"/>
      <c r="S14" s="91"/>
    </row>
    <row r="15" spans="2:19" x14ac:dyDescent="0.25">
      <c r="B15" s="166"/>
      <c r="C15" s="74"/>
      <c r="D15" s="178"/>
      <c r="E15" s="179"/>
      <c r="F15" s="77"/>
      <c r="G15" s="198">
        <f>SUM(G14:J14)</f>
        <v>52000</v>
      </c>
      <c r="H15" s="172"/>
      <c r="I15" s="172"/>
      <c r="J15" s="199"/>
      <c r="K15" s="82"/>
      <c r="L15" s="200">
        <f>+I14/L14*1000</f>
        <v>25173.611111111109</v>
      </c>
      <c r="M15" s="201"/>
      <c r="N15" s="48"/>
      <c r="O15" s="202">
        <f>SUM(O14:R14)</f>
        <v>28999.999999999996</v>
      </c>
      <c r="P15" s="203"/>
      <c r="Q15" s="203"/>
      <c r="R15" s="204"/>
      <c r="S15" s="83"/>
    </row>
    <row r="17" spans="2:19" ht="24" customHeight="1" x14ac:dyDescent="0.25">
      <c r="B17" s="108" t="s">
        <v>53</v>
      </c>
      <c r="C17" s="74"/>
      <c r="D17" s="211" t="s">
        <v>5</v>
      </c>
      <c r="E17" s="212"/>
      <c r="F17" s="80"/>
      <c r="G17" s="211" t="s">
        <v>43</v>
      </c>
      <c r="H17" s="212"/>
      <c r="I17" s="160" t="s">
        <v>50</v>
      </c>
      <c r="J17" s="160"/>
      <c r="K17" s="81"/>
      <c r="L17" s="211" t="s">
        <v>51</v>
      </c>
      <c r="M17" s="212"/>
      <c r="N17" s="77"/>
      <c r="O17" s="213" t="s">
        <v>8</v>
      </c>
      <c r="P17" s="214"/>
      <c r="Q17" s="209" t="s">
        <v>42</v>
      </c>
      <c r="R17" s="210"/>
      <c r="S17" s="83"/>
    </row>
    <row r="18" spans="2:19" x14ac:dyDescent="0.25">
      <c r="B18" s="73" t="s">
        <v>11</v>
      </c>
      <c r="C18" s="74"/>
      <c r="D18" s="75">
        <v>3250</v>
      </c>
      <c r="E18" s="76">
        <v>3250</v>
      </c>
      <c r="F18" s="77"/>
      <c r="G18" s="75"/>
      <c r="H18" s="75"/>
      <c r="I18" s="84">
        <f>+$I$27/$L$27*L18</f>
        <v>2775.8346581875994</v>
      </c>
      <c r="J18" s="101">
        <f t="shared" ref="J18:J25" si="4">+$I$27/$L$27*M18</f>
        <v>2775.8346581875994</v>
      </c>
      <c r="K18" s="82"/>
      <c r="L18" s="78">
        <v>97</v>
      </c>
      <c r="M18" s="78">
        <v>97</v>
      </c>
      <c r="N18" s="48"/>
      <c r="O18" s="98"/>
      <c r="P18" s="86"/>
      <c r="Q18" s="84">
        <f>+I18-O18</f>
        <v>2775.8346581875994</v>
      </c>
      <c r="R18" s="101">
        <f t="shared" ref="R18:R25" si="5">+J18-P18</f>
        <v>2775.8346581875994</v>
      </c>
      <c r="S18" s="83"/>
    </row>
    <row r="19" spans="2:19" x14ac:dyDescent="0.25">
      <c r="B19" s="73" t="s">
        <v>12</v>
      </c>
      <c r="C19" s="74"/>
      <c r="D19" s="75">
        <v>3250</v>
      </c>
      <c r="E19" s="75">
        <v>3250</v>
      </c>
      <c r="F19" s="77"/>
      <c r="G19" s="75"/>
      <c r="H19" s="75"/>
      <c r="I19" s="84">
        <f t="shared" ref="I19:I25" si="6">+$I$27/$L$27*L19</f>
        <v>2775.8346581875994</v>
      </c>
      <c r="J19" s="101">
        <f t="shared" si="4"/>
        <v>2775.8346581875994</v>
      </c>
      <c r="K19" s="82"/>
      <c r="L19" s="78">
        <v>97</v>
      </c>
      <c r="M19" s="78">
        <v>97</v>
      </c>
      <c r="N19" s="48"/>
      <c r="O19" s="98">
        <v>1750</v>
      </c>
      <c r="P19" s="86">
        <v>1750</v>
      </c>
      <c r="Q19" s="84">
        <f t="shared" ref="Q19:Q25" si="7">+I19-O19</f>
        <v>1025.8346581875994</v>
      </c>
      <c r="R19" s="101">
        <f t="shared" si="5"/>
        <v>1025.8346581875994</v>
      </c>
      <c r="S19" s="83"/>
    </row>
    <row r="20" spans="2:19" x14ac:dyDescent="0.25">
      <c r="B20" s="73" t="s">
        <v>13</v>
      </c>
      <c r="C20" s="74"/>
      <c r="D20" s="76">
        <v>3250</v>
      </c>
      <c r="E20" s="76">
        <v>3250</v>
      </c>
      <c r="F20" s="77"/>
      <c r="G20" s="76">
        <v>8000</v>
      </c>
      <c r="H20" s="76">
        <v>8000</v>
      </c>
      <c r="I20" s="87">
        <f t="shared" si="6"/>
        <v>0</v>
      </c>
      <c r="J20" s="100">
        <f t="shared" si="4"/>
        <v>0</v>
      </c>
      <c r="K20" s="82"/>
      <c r="L20" s="79"/>
      <c r="M20" s="79"/>
      <c r="N20" s="48"/>
      <c r="O20" s="99"/>
      <c r="P20" s="85"/>
      <c r="Q20" s="87">
        <f t="shared" si="7"/>
        <v>0</v>
      </c>
      <c r="R20" s="100">
        <f t="shared" si="5"/>
        <v>0</v>
      </c>
      <c r="S20" s="83"/>
    </row>
    <row r="21" spans="2:19" x14ac:dyDescent="0.25">
      <c r="B21" s="73" t="s">
        <v>14</v>
      </c>
      <c r="C21" s="74"/>
      <c r="D21" s="75">
        <v>3250</v>
      </c>
      <c r="E21" s="75">
        <v>3250</v>
      </c>
      <c r="F21" s="77"/>
      <c r="G21" s="75"/>
      <c r="H21" s="75"/>
      <c r="I21" s="84">
        <f t="shared" si="6"/>
        <v>2775.8346581875994</v>
      </c>
      <c r="J21" s="101">
        <f t="shared" si="4"/>
        <v>2775.8346581875994</v>
      </c>
      <c r="K21" s="82"/>
      <c r="L21" s="78">
        <v>97</v>
      </c>
      <c r="M21" s="78">
        <v>97</v>
      </c>
      <c r="N21" s="48"/>
      <c r="O21" s="98">
        <v>1750</v>
      </c>
      <c r="P21" s="86">
        <v>1750</v>
      </c>
      <c r="Q21" s="84">
        <f t="shared" si="7"/>
        <v>1025.8346581875994</v>
      </c>
      <c r="R21" s="101">
        <f t="shared" si="5"/>
        <v>1025.8346581875994</v>
      </c>
      <c r="S21" s="83"/>
    </row>
    <row r="22" spans="2:19" x14ac:dyDescent="0.25">
      <c r="B22" s="73" t="s">
        <v>15</v>
      </c>
      <c r="C22" s="74"/>
      <c r="D22" s="75">
        <v>3250</v>
      </c>
      <c r="E22" s="75">
        <v>3250</v>
      </c>
      <c r="F22" s="77"/>
      <c r="G22" s="75"/>
      <c r="H22" s="75"/>
      <c r="I22" s="84">
        <f t="shared" si="6"/>
        <v>2775.8346581875994</v>
      </c>
      <c r="J22" s="101">
        <f t="shared" si="4"/>
        <v>2775.8346581875994</v>
      </c>
      <c r="K22" s="82"/>
      <c r="L22" s="78">
        <v>97</v>
      </c>
      <c r="M22" s="78">
        <v>97</v>
      </c>
      <c r="N22" s="48"/>
      <c r="O22" s="98">
        <v>1750</v>
      </c>
      <c r="P22" s="86">
        <v>1750</v>
      </c>
      <c r="Q22" s="84">
        <f t="shared" si="7"/>
        <v>1025.8346581875994</v>
      </c>
      <c r="R22" s="101">
        <f t="shared" si="5"/>
        <v>1025.8346581875994</v>
      </c>
      <c r="S22" s="83"/>
    </row>
    <row r="23" spans="2:19" x14ac:dyDescent="0.25">
      <c r="B23" s="73" t="s">
        <v>16</v>
      </c>
      <c r="C23" s="74"/>
      <c r="D23" s="75">
        <v>3250</v>
      </c>
      <c r="E23" s="75">
        <v>3250</v>
      </c>
      <c r="F23" s="77"/>
      <c r="G23" s="75"/>
      <c r="H23" s="75"/>
      <c r="I23" s="84">
        <f t="shared" si="6"/>
        <v>2775.8346581875994</v>
      </c>
      <c r="J23" s="101">
        <f t="shared" si="4"/>
        <v>2775.8346581875994</v>
      </c>
      <c r="K23" s="82"/>
      <c r="L23" s="78">
        <v>97</v>
      </c>
      <c r="M23" s="78">
        <v>97</v>
      </c>
      <c r="N23" s="48"/>
      <c r="O23" s="98">
        <v>1750</v>
      </c>
      <c r="P23" s="86">
        <v>1750</v>
      </c>
      <c r="Q23" s="84">
        <f t="shared" si="7"/>
        <v>1025.8346581875994</v>
      </c>
      <c r="R23" s="101">
        <f t="shared" si="5"/>
        <v>1025.8346581875994</v>
      </c>
      <c r="S23" s="83"/>
    </row>
    <row r="24" spans="2:19" x14ac:dyDescent="0.25">
      <c r="B24" s="73" t="s">
        <v>17</v>
      </c>
      <c r="C24" s="74"/>
      <c r="D24" s="75">
        <v>3250</v>
      </c>
      <c r="E24" s="75">
        <v>3250</v>
      </c>
      <c r="F24" s="77"/>
      <c r="G24" s="75"/>
      <c r="H24" s="75"/>
      <c r="I24" s="84">
        <f t="shared" si="6"/>
        <v>2060.4133545310019</v>
      </c>
      <c r="J24" s="101">
        <f t="shared" si="4"/>
        <v>2060.4133545310019</v>
      </c>
      <c r="K24" s="82"/>
      <c r="L24" s="78">
        <v>72</v>
      </c>
      <c r="M24" s="78">
        <v>72</v>
      </c>
      <c r="N24" s="48"/>
      <c r="O24" s="98">
        <v>1750</v>
      </c>
      <c r="P24" s="86">
        <v>1750</v>
      </c>
      <c r="Q24" s="84">
        <f t="shared" si="7"/>
        <v>310.41335453100191</v>
      </c>
      <c r="R24" s="101">
        <f t="shared" si="5"/>
        <v>310.41335453100191</v>
      </c>
      <c r="S24" s="83"/>
    </row>
    <row r="25" spans="2:19" x14ac:dyDescent="0.25">
      <c r="B25" s="73" t="s">
        <v>18</v>
      </c>
      <c r="C25" s="74"/>
      <c r="D25" s="75">
        <v>3250</v>
      </c>
      <c r="E25" s="75">
        <v>3250</v>
      </c>
      <c r="F25" s="77"/>
      <c r="G25" s="75"/>
      <c r="H25" s="75"/>
      <c r="I25" s="84">
        <f t="shared" si="6"/>
        <v>2060.4133545310019</v>
      </c>
      <c r="J25" s="101">
        <f t="shared" si="4"/>
        <v>2060.4133545310019</v>
      </c>
      <c r="K25" s="82"/>
      <c r="L25" s="78">
        <v>72</v>
      </c>
      <c r="M25" s="78">
        <v>72</v>
      </c>
      <c r="N25" s="48"/>
      <c r="O25" s="98">
        <v>1750</v>
      </c>
      <c r="P25" s="86">
        <v>1750</v>
      </c>
      <c r="Q25" s="84">
        <f t="shared" si="7"/>
        <v>310.41335453100191</v>
      </c>
      <c r="R25" s="101">
        <f t="shared" si="5"/>
        <v>310.41335453100191</v>
      </c>
      <c r="S25" s="83"/>
    </row>
    <row r="26" spans="2:19" ht="15.75" thickBot="1" x14ac:dyDescent="0.3">
      <c r="B26" s="92" t="s">
        <v>41</v>
      </c>
      <c r="C26" s="93"/>
      <c r="D26" s="205"/>
      <c r="E26" s="206"/>
      <c r="F26" s="94"/>
      <c r="G26" s="205"/>
      <c r="H26" s="206"/>
      <c r="I26" s="176"/>
      <c r="J26" s="177"/>
      <c r="K26" s="95"/>
      <c r="L26" s="97"/>
      <c r="M26" s="97"/>
      <c r="N26" s="60"/>
      <c r="O26" s="102"/>
      <c r="P26" s="103"/>
      <c r="Q26" s="104"/>
      <c r="R26" s="105"/>
      <c r="S26" s="96"/>
    </row>
    <row r="27" spans="2:19" ht="15.75" thickTop="1" x14ac:dyDescent="0.25">
      <c r="B27" s="165"/>
      <c r="C27" s="88"/>
      <c r="D27" s="196">
        <f>SUM(D18:E26)</f>
        <v>52000</v>
      </c>
      <c r="E27" s="197"/>
      <c r="F27" s="89"/>
      <c r="G27" s="196">
        <f>SUM(G18:H26)</f>
        <v>16000</v>
      </c>
      <c r="H27" s="197"/>
      <c r="I27" s="207">
        <f>+D27-G27</f>
        <v>36000</v>
      </c>
      <c r="J27" s="208"/>
      <c r="K27" s="90"/>
      <c r="L27" s="194">
        <f>SUM(L18:M26)</f>
        <v>1258</v>
      </c>
      <c r="M27" s="195"/>
      <c r="N27" s="48"/>
      <c r="O27" s="196">
        <f>SUM(O18:P26)</f>
        <v>21000</v>
      </c>
      <c r="P27" s="197"/>
      <c r="Q27" s="196">
        <f>SUM(Q18:R26)</f>
        <v>15000</v>
      </c>
      <c r="R27" s="197"/>
      <c r="S27" s="91"/>
    </row>
    <row r="28" spans="2:19" x14ac:dyDescent="0.25">
      <c r="B28" s="166"/>
      <c r="C28" s="74"/>
      <c r="D28" s="178"/>
      <c r="E28" s="179"/>
      <c r="F28" s="77"/>
      <c r="G28" s="198">
        <f>SUM(G27:J27)</f>
        <v>52000</v>
      </c>
      <c r="H28" s="172"/>
      <c r="I28" s="172"/>
      <c r="J28" s="199"/>
      <c r="K28" s="82"/>
      <c r="L28" s="200">
        <f>+I27/L27*1000</f>
        <v>28616.852146263911</v>
      </c>
      <c r="M28" s="201"/>
      <c r="N28" s="48"/>
      <c r="O28" s="202">
        <f>SUM(O27:R27)</f>
        <v>36000</v>
      </c>
      <c r="P28" s="203"/>
      <c r="Q28" s="203"/>
      <c r="R28" s="204"/>
      <c r="S28" s="83"/>
    </row>
    <row r="30" spans="2:19" x14ac:dyDescent="0.25">
      <c r="D30" s="71"/>
    </row>
  </sheetData>
  <mergeCells count="41">
    <mergeCell ref="O4:P4"/>
    <mergeCell ref="I26:J26"/>
    <mergeCell ref="O27:P27"/>
    <mergeCell ref="Q27:R27"/>
    <mergeCell ref="I14:J14"/>
    <mergeCell ref="D15:E15"/>
    <mergeCell ref="L15:M15"/>
    <mergeCell ref="O28:R28"/>
    <mergeCell ref="G15:J15"/>
    <mergeCell ref="G28:J28"/>
    <mergeCell ref="D28:E28"/>
    <mergeCell ref="L28:M28"/>
    <mergeCell ref="D26:E26"/>
    <mergeCell ref="G26:H26"/>
    <mergeCell ref="I17:J17"/>
    <mergeCell ref="L17:M17"/>
    <mergeCell ref="L27:M27"/>
    <mergeCell ref="I27:J27"/>
    <mergeCell ref="O17:P17"/>
    <mergeCell ref="Q17:R17"/>
    <mergeCell ref="B27:B28"/>
    <mergeCell ref="D27:E27"/>
    <mergeCell ref="G27:H27"/>
    <mergeCell ref="D17:E17"/>
    <mergeCell ref="G17:H17"/>
    <mergeCell ref="B2:R2"/>
    <mergeCell ref="B14:B15"/>
    <mergeCell ref="D14:E14"/>
    <mergeCell ref="G14:H14"/>
    <mergeCell ref="L14:M14"/>
    <mergeCell ref="I4:J4"/>
    <mergeCell ref="D13:E13"/>
    <mergeCell ref="G13:H13"/>
    <mergeCell ref="I13:J13"/>
    <mergeCell ref="D4:E4"/>
    <mergeCell ref="G4:H4"/>
    <mergeCell ref="L4:M4"/>
    <mergeCell ref="Q4:R4"/>
    <mergeCell ref="O14:P14"/>
    <mergeCell ref="Q14:R14"/>
    <mergeCell ref="O15:R15"/>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EF73-C26D-423D-87AC-8BEB6FA4A1B4}">
  <sheetPr>
    <tabColor rgb="FF92D050"/>
  </sheetPr>
  <dimension ref="B2:S33"/>
  <sheetViews>
    <sheetView showGridLines="0" showZeros="0" zoomScale="115" zoomScaleNormal="115" workbookViewId="0">
      <selection activeCell="D14" sqref="D14:E14"/>
    </sheetView>
  </sheetViews>
  <sheetFormatPr defaultRowHeight="15" x14ac:dyDescent="0.25"/>
  <cols>
    <col min="1" max="1" width="2.5703125" customWidth="1"/>
    <col min="2" max="2" width="15.5703125" style="1" customWidth="1"/>
    <col min="3" max="3" width="1.140625" customWidth="1"/>
    <col min="4" max="5" width="8.5703125" style="5" customWidth="1"/>
    <col min="6" max="6" width="1.28515625" style="3" customWidth="1"/>
    <col min="7" max="8" width="8.5703125" style="5" customWidth="1"/>
    <col min="9" max="9" width="9.140625" style="5" customWidth="1"/>
    <col min="10" max="10" width="10.42578125" style="5" customWidth="1"/>
    <col min="11" max="11" width="1.28515625" style="3" customWidth="1"/>
    <col min="12" max="12" width="8.85546875" style="5" customWidth="1"/>
    <col min="13" max="13" width="11.42578125" style="5" customWidth="1"/>
    <col min="14" max="14" width="1.28515625" style="3" customWidth="1"/>
    <col min="15" max="16" width="8.5703125" style="5" customWidth="1"/>
    <col min="17" max="17" width="9.28515625" style="5" customWidth="1"/>
    <col min="18" max="18" width="10.140625" style="5" customWidth="1"/>
    <col min="19" max="19" width="1.28515625" style="3" customWidth="1"/>
    <col min="20" max="20" width="13.7109375" customWidth="1"/>
  </cols>
  <sheetData>
    <row r="2" spans="2:19" s="106" customFormat="1" ht="22.15" customHeight="1" x14ac:dyDescent="0.25">
      <c r="B2" s="215" t="s">
        <v>55</v>
      </c>
      <c r="C2" s="215"/>
      <c r="D2" s="215"/>
      <c r="E2" s="215"/>
      <c r="F2" s="215"/>
      <c r="G2" s="215"/>
      <c r="H2" s="215"/>
      <c r="I2" s="215"/>
      <c r="J2" s="215"/>
      <c r="K2" s="215"/>
      <c r="L2" s="215"/>
      <c r="M2" s="215"/>
      <c r="N2" s="215"/>
      <c r="O2" s="215"/>
      <c r="P2" s="215"/>
      <c r="Q2" s="215"/>
      <c r="R2" s="215"/>
      <c r="S2" s="107"/>
    </row>
    <row r="4" spans="2:19" ht="24" customHeight="1" x14ac:dyDescent="0.25">
      <c r="B4" s="108" t="s">
        <v>52</v>
      </c>
      <c r="C4" s="74"/>
      <c r="D4" s="211" t="s">
        <v>5</v>
      </c>
      <c r="E4" s="212"/>
      <c r="F4" s="80"/>
      <c r="G4" s="211" t="s">
        <v>43</v>
      </c>
      <c r="H4" s="212"/>
      <c r="I4" s="160" t="s">
        <v>50</v>
      </c>
      <c r="J4" s="160"/>
      <c r="K4" s="81"/>
      <c r="L4" s="211" t="s">
        <v>51</v>
      </c>
      <c r="M4" s="212"/>
      <c r="N4" s="77"/>
      <c r="O4" s="213" t="s">
        <v>8</v>
      </c>
      <c r="P4" s="214"/>
      <c r="Q4" s="209" t="s">
        <v>42</v>
      </c>
      <c r="R4" s="210"/>
      <c r="S4" s="83"/>
    </row>
    <row r="5" spans="2:19" x14ac:dyDescent="0.25">
      <c r="B5" s="73" t="s">
        <v>11</v>
      </c>
      <c r="C5" s="74"/>
      <c r="D5" s="75">
        <v>3250</v>
      </c>
      <c r="E5" s="76">
        <v>3250</v>
      </c>
      <c r="F5" s="77"/>
      <c r="G5" s="75"/>
      <c r="H5" s="76">
        <v>7000</v>
      </c>
      <c r="I5" s="84">
        <f>+$I$14/$L$14*L5</f>
        <v>2500</v>
      </c>
      <c r="J5" s="100">
        <f t="shared" ref="J5:J12" si="0">+$I$14/$L$14*M5</f>
        <v>0</v>
      </c>
      <c r="K5" s="82"/>
      <c r="L5" s="78">
        <v>96</v>
      </c>
      <c r="M5" s="79"/>
      <c r="N5" s="48"/>
      <c r="O5" s="98"/>
      <c r="P5" s="85"/>
      <c r="Q5" s="84">
        <f>+I5-O5</f>
        <v>2500</v>
      </c>
      <c r="R5" s="100">
        <f t="shared" ref="R5:R12" si="1">+J5-P5</f>
        <v>0</v>
      </c>
      <c r="S5" s="83"/>
    </row>
    <row r="6" spans="2:19" x14ac:dyDescent="0.25">
      <c r="B6" s="73" t="s">
        <v>12</v>
      </c>
      <c r="C6" s="74"/>
      <c r="D6" s="75">
        <v>3250</v>
      </c>
      <c r="E6" s="76">
        <v>3250</v>
      </c>
      <c r="F6" s="77"/>
      <c r="G6" s="75"/>
      <c r="H6" s="76">
        <v>7000</v>
      </c>
      <c r="I6" s="84">
        <f>+$I$14/$L$14*L6</f>
        <v>2500</v>
      </c>
      <c r="J6" s="100">
        <f t="shared" ref="J6" si="2">+$I$14/$L$14*M6</f>
        <v>0</v>
      </c>
      <c r="K6" s="82"/>
      <c r="L6" s="78">
        <v>96</v>
      </c>
      <c r="M6" s="79"/>
      <c r="N6" s="48"/>
      <c r="O6" s="98">
        <v>1750</v>
      </c>
      <c r="P6" s="85"/>
      <c r="Q6" s="84">
        <f>+I6-O6</f>
        <v>750</v>
      </c>
      <c r="R6" s="100">
        <f t="shared" ref="R6" si="3">+J6-P6</f>
        <v>0</v>
      </c>
      <c r="S6" s="83"/>
    </row>
    <row r="7" spans="2:19" x14ac:dyDescent="0.25">
      <c r="B7" s="73" t="s">
        <v>13</v>
      </c>
      <c r="C7" s="74"/>
      <c r="D7" s="76">
        <v>3250</v>
      </c>
      <c r="E7" s="75">
        <v>3250</v>
      </c>
      <c r="F7" s="77"/>
      <c r="G7" s="76">
        <v>8000</v>
      </c>
      <c r="H7" s="75"/>
      <c r="I7" s="87">
        <f t="shared" ref="I7:I12" si="4">+$I$14/$L$14*L7</f>
        <v>0</v>
      </c>
      <c r="J7" s="101">
        <f t="shared" si="0"/>
        <v>2500</v>
      </c>
      <c r="K7" s="82"/>
      <c r="L7" s="79"/>
      <c r="M7" s="78">
        <v>96</v>
      </c>
      <c r="N7" s="48"/>
      <c r="O7" s="99"/>
      <c r="P7" s="86">
        <v>1750</v>
      </c>
      <c r="Q7" s="87">
        <f t="shared" ref="Q7:Q12" si="5">+I7-O7</f>
        <v>0</v>
      </c>
      <c r="R7" s="101">
        <f t="shared" si="1"/>
        <v>750</v>
      </c>
      <c r="S7" s="83"/>
    </row>
    <row r="8" spans="2:19" x14ac:dyDescent="0.25">
      <c r="B8" s="73" t="s">
        <v>14</v>
      </c>
      <c r="C8" s="74"/>
      <c r="D8" s="75">
        <v>3250</v>
      </c>
      <c r="E8" s="75">
        <v>3250</v>
      </c>
      <c r="F8" s="77"/>
      <c r="G8" s="75"/>
      <c r="H8" s="75"/>
      <c r="I8" s="84">
        <f t="shared" si="4"/>
        <v>2500</v>
      </c>
      <c r="J8" s="101">
        <f t="shared" si="0"/>
        <v>2500</v>
      </c>
      <c r="K8" s="82"/>
      <c r="L8" s="78">
        <v>96</v>
      </c>
      <c r="M8" s="78">
        <v>96</v>
      </c>
      <c r="N8" s="48"/>
      <c r="O8" s="98">
        <v>1750</v>
      </c>
      <c r="P8" s="86">
        <v>1750</v>
      </c>
      <c r="Q8" s="84">
        <f t="shared" si="5"/>
        <v>750</v>
      </c>
      <c r="R8" s="101">
        <f t="shared" si="1"/>
        <v>750</v>
      </c>
      <c r="S8" s="83"/>
    </row>
    <row r="9" spans="2:19" x14ac:dyDescent="0.25">
      <c r="B9" s="73" t="s">
        <v>15</v>
      </c>
      <c r="C9" s="74"/>
      <c r="D9" s="75">
        <v>3250</v>
      </c>
      <c r="E9" s="75">
        <v>3250</v>
      </c>
      <c r="F9" s="77"/>
      <c r="G9" s="75"/>
      <c r="H9" s="75"/>
      <c r="I9" s="84">
        <f t="shared" si="4"/>
        <v>2500</v>
      </c>
      <c r="J9" s="101">
        <f t="shared" si="0"/>
        <v>2500</v>
      </c>
      <c r="K9" s="82"/>
      <c r="L9" s="78">
        <v>96</v>
      </c>
      <c r="M9" s="78">
        <v>96</v>
      </c>
      <c r="N9" s="48"/>
      <c r="O9" s="98">
        <v>1750</v>
      </c>
      <c r="P9" s="86">
        <v>1750</v>
      </c>
      <c r="Q9" s="84">
        <f t="shared" si="5"/>
        <v>750</v>
      </c>
      <c r="R9" s="101">
        <f t="shared" si="1"/>
        <v>750</v>
      </c>
      <c r="S9" s="83"/>
    </row>
    <row r="10" spans="2:19" x14ac:dyDescent="0.25">
      <c r="B10" s="73" t="s">
        <v>16</v>
      </c>
      <c r="C10" s="74"/>
      <c r="D10" s="75">
        <v>3250</v>
      </c>
      <c r="E10" s="75">
        <v>3250</v>
      </c>
      <c r="F10" s="77"/>
      <c r="G10" s="75"/>
      <c r="H10" s="75"/>
      <c r="I10" s="84">
        <f t="shared" si="4"/>
        <v>2500</v>
      </c>
      <c r="J10" s="101">
        <f t="shared" si="0"/>
        <v>2500</v>
      </c>
      <c r="K10" s="82"/>
      <c r="L10" s="78">
        <v>96</v>
      </c>
      <c r="M10" s="78">
        <v>96</v>
      </c>
      <c r="N10" s="48"/>
      <c r="O10" s="98">
        <v>1750</v>
      </c>
      <c r="P10" s="86">
        <v>1750</v>
      </c>
      <c r="Q10" s="84">
        <f t="shared" si="5"/>
        <v>750</v>
      </c>
      <c r="R10" s="101">
        <f t="shared" si="1"/>
        <v>750</v>
      </c>
      <c r="S10" s="83"/>
    </row>
    <row r="11" spans="2:19" x14ac:dyDescent="0.25">
      <c r="B11" s="73" t="s">
        <v>17</v>
      </c>
      <c r="C11" s="74"/>
      <c r="D11" s="75">
        <v>3250</v>
      </c>
      <c r="E11" s="75">
        <v>3250</v>
      </c>
      <c r="F11" s="77"/>
      <c r="G11" s="75"/>
      <c r="H11" s="75"/>
      <c r="I11" s="84">
        <f t="shared" si="4"/>
        <v>1875</v>
      </c>
      <c r="J11" s="101">
        <f t="shared" si="0"/>
        <v>1875</v>
      </c>
      <c r="K11" s="82"/>
      <c r="L11" s="78">
        <v>72</v>
      </c>
      <c r="M11" s="78">
        <v>72</v>
      </c>
      <c r="N11" s="48"/>
      <c r="O11" s="98">
        <v>1750</v>
      </c>
      <c r="P11" s="86">
        <v>1750</v>
      </c>
      <c r="Q11" s="84">
        <f t="shared" si="5"/>
        <v>125</v>
      </c>
      <c r="R11" s="101">
        <f t="shared" si="1"/>
        <v>125</v>
      </c>
      <c r="S11" s="83"/>
    </row>
    <row r="12" spans="2:19" x14ac:dyDescent="0.25">
      <c r="B12" s="73" t="s">
        <v>18</v>
      </c>
      <c r="C12" s="74"/>
      <c r="D12" s="75">
        <v>3250</v>
      </c>
      <c r="E12" s="75">
        <v>3250</v>
      </c>
      <c r="F12" s="77"/>
      <c r="G12" s="75"/>
      <c r="H12" s="75"/>
      <c r="I12" s="84">
        <f t="shared" si="4"/>
        <v>1875</v>
      </c>
      <c r="J12" s="101">
        <f t="shared" si="0"/>
        <v>1875</v>
      </c>
      <c r="K12" s="82"/>
      <c r="L12" s="78">
        <v>72</v>
      </c>
      <c r="M12" s="78">
        <v>72</v>
      </c>
      <c r="N12" s="48"/>
      <c r="O12" s="98">
        <v>875</v>
      </c>
      <c r="P12" s="86">
        <v>875</v>
      </c>
      <c r="Q12" s="84">
        <f t="shared" si="5"/>
        <v>1000</v>
      </c>
      <c r="R12" s="101">
        <f t="shared" si="1"/>
        <v>1000</v>
      </c>
      <c r="S12" s="83"/>
    </row>
    <row r="13" spans="2:19" ht="15.75" thickBot="1" x14ac:dyDescent="0.3">
      <c r="B13" s="92" t="s">
        <v>41</v>
      </c>
      <c r="C13" s="93"/>
      <c r="D13" s="205"/>
      <c r="E13" s="206"/>
      <c r="F13" s="94"/>
      <c r="G13" s="205"/>
      <c r="H13" s="206"/>
      <c r="I13" s="176"/>
      <c r="J13" s="177"/>
      <c r="K13" s="95"/>
      <c r="L13" s="97"/>
      <c r="M13" s="97"/>
      <c r="N13" s="60"/>
      <c r="O13" s="102"/>
      <c r="P13" s="103"/>
      <c r="Q13" s="104"/>
      <c r="R13" s="105"/>
      <c r="S13" s="96"/>
    </row>
    <row r="14" spans="2:19" ht="15.75" thickTop="1" x14ac:dyDescent="0.25">
      <c r="B14" s="165"/>
      <c r="C14" s="88"/>
      <c r="D14" s="196">
        <f>SUM(D5:E13)</f>
        <v>52000</v>
      </c>
      <c r="E14" s="197"/>
      <c r="F14" s="89"/>
      <c r="G14" s="196">
        <f>SUM(G5:H13)</f>
        <v>22000</v>
      </c>
      <c r="H14" s="197"/>
      <c r="I14" s="207">
        <f>+D14-G14</f>
        <v>30000</v>
      </c>
      <c r="J14" s="208"/>
      <c r="K14" s="90"/>
      <c r="L14" s="194">
        <f>SUM(L5:M13)</f>
        <v>1152</v>
      </c>
      <c r="M14" s="195"/>
      <c r="N14" s="48"/>
      <c r="O14" s="196">
        <f>SUM(O5:P13)</f>
        <v>19250</v>
      </c>
      <c r="P14" s="197"/>
      <c r="Q14" s="196">
        <f>SUM(Q5:R13)</f>
        <v>10750</v>
      </c>
      <c r="R14" s="197"/>
      <c r="S14" s="91"/>
    </row>
    <row r="15" spans="2:19" x14ac:dyDescent="0.25">
      <c r="B15" s="166"/>
      <c r="C15" s="74"/>
      <c r="D15" s="178"/>
      <c r="E15" s="179"/>
      <c r="F15" s="77"/>
      <c r="G15" s="198">
        <f>SUM(G14:J14)</f>
        <v>52000</v>
      </c>
      <c r="H15" s="172"/>
      <c r="I15" s="172"/>
      <c r="J15" s="199"/>
      <c r="K15" s="82"/>
      <c r="L15" s="200">
        <f>+I14/L14*1000</f>
        <v>26041.666666666668</v>
      </c>
      <c r="M15" s="201"/>
      <c r="N15" s="48"/>
      <c r="O15" s="202">
        <f>SUM(O14:R14)</f>
        <v>30000</v>
      </c>
      <c r="P15" s="203"/>
      <c r="Q15" s="203"/>
      <c r="R15" s="204"/>
      <c r="S15" s="83"/>
    </row>
    <row r="17" spans="2:19" ht="24" customHeight="1" x14ac:dyDescent="0.25">
      <c r="B17" s="108" t="s">
        <v>53</v>
      </c>
      <c r="C17" s="74"/>
      <c r="D17" s="211" t="s">
        <v>5</v>
      </c>
      <c r="E17" s="212"/>
      <c r="F17" s="80"/>
      <c r="G17" s="211" t="s">
        <v>43</v>
      </c>
      <c r="H17" s="212"/>
      <c r="I17" s="160" t="s">
        <v>50</v>
      </c>
      <c r="J17" s="160"/>
      <c r="K17" s="81"/>
      <c r="L17" s="211" t="s">
        <v>51</v>
      </c>
      <c r="M17" s="212"/>
      <c r="N17" s="77"/>
      <c r="O17" s="213" t="s">
        <v>8</v>
      </c>
      <c r="P17" s="214"/>
      <c r="Q17" s="209" t="s">
        <v>42</v>
      </c>
      <c r="R17" s="210"/>
      <c r="S17" s="83"/>
    </row>
    <row r="18" spans="2:19" x14ac:dyDescent="0.25">
      <c r="B18" s="73" t="s">
        <v>11</v>
      </c>
      <c r="C18" s="74"/>
      <c r="D18" s="75">
        <v>3201.5</v>
      </c>
      <c r="E18" s="76">
        <v>3201.5</v>
      </c>
      <c r="F18" s="77"/>
      <c r="G18" s="75"/>
      <c r="H18" s="75"/>
      <c r="I18" s="84">
        <f>+$I$27/$L$27*L18</f>
        <v>2716</v>
      </c>
      <c r="J18" s="101">
        <f t="shared" ref="J18:J25" si="6">+$I$27/$L$27*M18</f>
        <v>2716</v>
      </c>
      <c r="K18" s="82"/>
      <c r="L18" s="78">
        <v>97</v>
      </c>
      <c r="M18" s="78">
        <v>97</v>
      </c>
      <c r="N18" s="48"/>
      <c r="O18" s="98"/>
      <c r="P18" s="86"/>
      <c r="Q18" s="84">
        <f>+I18-O18</f>
        <v>2716</v>
      </c>
      <c r="R18" s="101">
        <f t="shared" ref="R18:R25" si="7">+J18-P18</f>
        <v>2716</v>
      </c>
      <c r="S18" s="83"/>
    </row>
    <row r="19" spans="2:19" x14ac:dyDescent="0.25">
      <c r="B19" s="73" t="s">
        <v>12</v>
      </c>
      <c r="C19" s="74"/>
      <c r="D19" s="75">
        <v>3201.5</v>
      </c>
      <c r="E19" s="75">
        <v>3201.5</v>
      </c>
      <c r="F19" s="77"/>
      <c r="G19" s="75"/>
      <c r="H19" s="75"/>
      <c r="I19" s="84">
        <f t="shared" ref="I19:I25" si="8">+$I$27/$L$27*L19</f>
        <v>2716</v>
      </c>
      <c r="J19" s="101">
        <f t="shared" si="6"/>
        <v>2716</v>
      </c>
      <c r="K19" s="82"/>
      <c r="L19" s="78">
        <v>97</v>
      </c>
      <c r="M19" s="78">
        <v>97</v>
      </c>
      <c r="N19" s="48"/>
      <c r="O19" s="98">
        <v>1750</v>
      </c>
      <c r="P19" s="86">
        <v>1750</v>
      </c>
      <c r="Q19" s="84">
        <f t="shared" ref="Q19:Q25" si="9">+I19-O19</f>
        <v>966</v>
      </c>
      <c r="R19" s="101">
        <f t="shared" si="7"/>
        <v>966</v>
      </c>
      <c r="S19" s="83"/>
    </row>
    <row r="20" spans="2:19" x14ac:dyDescent="0.25">
      <c r="B20" s="73" t="s">
        <v>13</v>
      </c>
      <c r="C20" s="74"/>
      <c r="D20" s="76">
        <v>3201.5</v>
      </c>
      <c r="E20" s="76">
        <v>3201.5</v>
      </c>
      <c r="F20" s="77"/>
      <c r="G20" s="76">
        <v>8000</v>
      </c>
      <c r="H20" s="76">
        <v>8000</v>
      </c>
      <c r="I20" s="87">
        <f t="shared" si="8"/>
        <v>0</v>
      </c>
      <c r="J20" s="100">
        <f t="shared" si="6"/>
        <v>0</v>
      </c>
      <c r="K20" s="82"/>
      <c r="L20" s="79"/>
      <c r="M20" s="79"/>
      <c r="N20" s="48"/>
      <c r="O20" s="99"/>
      <c r="P20" s="85"/>
      <c r="Q20" s="87">
        <f t="shared" si="9"/>
        <v>0</v>
      </c>
      <c r="R20" s="100">
        <f t="shared" si="7"/>
        <v>0</v>
      </c>
      <c r="S20" s="83"/>
    </row>
    <row r="21" spans="2:19" x14ac:dyDescent="0.25">
      <c r="B21" s="73" t="s">
        <v>14</v>
      </c>
      <c r="C21" s="74"/>
      <c r="D21" s="75">
        <v>3201.5</v>
      </c>
      <c r="E21" s="75">
        <v>3201.5</v>
      </c>
      <c r="F21" s="77"/>
      <c r="G21" s="75"/>
      <c r="H21" s="75"/>
      <c r="I21" s="84">
        <f t="shared" si="8"/>
        <v>2716</v>
      </c>
      <c r="J21" s="101">
        <f t="shared" si="6"/>
        <v>2716</v>
      </c>
      <c r="K21" s="82"/>
      <c r="L21" s="78">
        <v>97</v>
      </c>
      <c r="M21" s="78">
        <v>97</v>
      </c>
      <c r="N21" s="48"/>
      <c r="O21" s="98">
        <v>1750</v>
      </c>
      <c r="P21" s="86">
        <v>1750</v>
      </c>
      <c r="Q21" s="84">
        <f t="shared" si="9"/>
        <v>966</v>
      </c>
      <c r="R21" s="101">
        <f t="shared" si="7"/>
        <v>966</v>
      </c>
      <c r="S21" s="83"/>
    </row>
    <row r="22" spans="2:19" x14ac:dyDescent="0.25">
      <c r="B22" s="73" t="s">
        <v>15</v>
      </c>
      <c r="C22" s="74"/>
      <c r="D22" s="75">
        <v>3201.5</v>
      </c>
      <c r="E22" s="75">
        <v>3201.5</v>
      </c>
      <c r="F22" s="77"/>
      <c r="G22" s="75"/>
      <c r="H22" s="75"/>
      <c r="I22" s="84">
        <f t="shared" si="8"/>
        <v>2716</v>
      </c>
      <c r="J22" s="101">
        <f t="shared" si="6"/>
        <v>2716</v>
      </c>
      <c r="K22" s="82"/>
      <c r="L22" s="78">
        <v>97</v>
      </c>
      <c r="M22" s="78">
        <v>97</v>
      </c>
      <c r="N22" s="48"/>
      <c r="O22" s="98">
        <v>1750</v>
      </c>
      <c r="P22" s="86">
        <v>1750</v>
      </c>
      <c r="Q22" s="84">
        <f t="shared" si="9"/>
        <v>966</v>
      </c>
      <c r="R22" s="101">
        <f t="shared" si="7"/>
        <v>966</v>
      </c>
      <c r="S22" s="83"/>
    </row>
    <row r="23" spans="2:19" x14ac:dyDescent="0.25">
      <c r="B23" s="73" t="s">
        <v>16</v>
      </c>
      <c r="C23" s="74"/>
      <c r="D23" s="75">
        <v>3201.5</v>
      </c>
      <c r="E23" s="75">
        <v>3201.5</v>
      </c>
      <c r="F23" s="77"/>
      <c r="G23" s="75"/>
      <c r="H23" s="75"/>
      <c r="I23" s="84">
        <f t="shared" si="8"/>
        <v>2716</v>
      </c>
      <c r="J23" s="101">
        <f t="shared" si="6"/>
        <v>2716</v>
      </c>
      <c r="K23" s="82"/>
      <c r="L23" s="78">
        <v>97</v>
      </c>
      <c r="M23" s="78">
        <v>97</v>
      </c>
      <c r="N23" s="48"/>
      <c r="O23" s="98">
        <v>1750</v>
      </c>
      <c r="P23" s="86">
        <v>1750</v>
      </c>
      <c r="Q23" s="84">
        <f t="shared" si="9"/>
        <v>966</v>
      </c>
      <c r="R23" s="101">
        <f t="shared" si="7"/>
        <v>966</v>
      </c>
      <c r="S23" s="83"/>
    </row>
    <row r="24" spans="2:19" x14ac:dyDescent="0.25">
      <c r="B24" s="73" t="s">
        <v>17</v>
      </c>
      <c r="C24" s="74"/>
      <c r="D24" s="75">
        <v>3201.5</v>
      </c>
      <c r="E24" s="75">
        <v>3201.5</v>
      </c>
      <c r="F24" s="77"/>
      <c r="G24" s="75"/>
      <c r="H24" s="75"/>
      <c r="I24" s="84">
        <f t="shared" si="8"/>
        <v>2016</v>
      </c>
      <c r="J24" s="101">
        <f t="shared" si="6"/>
        <v>2016</v>
      </c>
      <c r="K24" s="82"/>
      <c r="L24" s="78">
        <v>72</v>
      </c>
      <c r="M24" s="78">
        <v>72</v>
      </c>
      <c r="N24" s="48"/>
      <c r="O24" s="98">
        <v>1750</v>
      </c>
      <c r="P24" s="86">
        <v>1750</v>
      </c>
      <c r="Q24" s="84">
        <f t="shared" si="9"/>
        <v>266</v>
      </c>
      <c r="R24" s="101">
        <f t="shared" si="7"/>
        <v>266</v>
      </c>
      <c r="S24" s="83"/>
    </row>
    <row r="25" spans="2:19" x14ac:dyDescent="0.25">
      <c r="B25" s="73" t="s">
        <v>18</v>
      </c>
      <c r="C25" s="74"/>
      <c r="D25" s="75">
        <v>3201.5</v>
      </c>
      <c r="E25" s="75">
        <v>3201.5</v>
      </c>
      <c r="F25" s="77"/>
      <c r="G25" s="75"/>
      <c r="H25" s="75"/>
      <c r="I25" s="84">
        <f t="shared" si="8"/>
        <v>2016</v>
      </c>
      <c r="J25" s="101">
        <f t="shared" si="6"/>
        <v>2016</v>
      </c>
      <c r="K25" s="82"/>
      <c r="L25" s="78">
        <v>72</v>
      </c>
      <c r="M25" s="78">
        <v>72</v>
      </c>
      <c r="N25" s="48"/>
      <c r="O25" s="98">
        <v>1750</v>
      </c>
      <c r="P25" s="86">
        <v>1750</v>
      </c>
      <c r="Q25" s="84">
        <f t="shared" si="9"/>
        <v>266</v>
      </c>
      <c r="R25" s="101">
        <f t="shared" si="7"/>
        <v>266</v>
      </c>
      <c r="S25" s="83"/>
    </row>
    <row r="26" spans="2:19" ht="15.75" thickBot="1" x14ac:dyDescent="0.3">
      <c r="B26" s="92" t="s">
        <v>41</v>
      </c>
      <c r="C26" s="93"/>
      <c r="D26" s="205"/>
      <c r="E26" s="206"/>
      <c r="F26" s="94"/>
      <c r="G26" s="205"/>
      <c r="H26" s="206"/>
      <c r="I26" s="176"/>
      <c r="J26" s="177"/>
      <c r="K26" s="95"/>
      <c r="L26" s="97"/>
      <c r="M26" s="97"/>
      <c r="N26" s="60"/>
      <c r="O26" s="102"/>
      <c r="P26" s="103"/>
      <c r="Q26" s="104"/>
      <c r="R26" s="105"/>
      <c r="S26" s="96"/>
    </row>
    <row r="27" spans="2:19" ht="15.75" thickTop="1" x14ac:dyDescent="0.25">
      <c r="B27" s="165"/>
      <c r="C27" s="88"/>
      <c r="D27" s="196">
        <f>SUM(D18:E26)</f>
        <v>51224</v>
      </c>
      <c r="E27" s="197"/>
      <c r="F27" s="89"/>
      <c r="G27" s="196">
        <f>SUM(G18:H26)</f>
        <v>16000</v>
      </c>
      <c r="H27" s="197"/>
      <c r="I27" s="207">
        <f>+D27-G27</f>
        <v>35224</v>
      </c>
      <c r="J27" s="208"/>
      <c r="K27" s="90"/>
      <c r="L27" s="194">
        <f>SUM(L18:M26)</f>
        <v>1258</v>
      </c>
      <c r="M27" s="195"/>
      <c r="N27" s="48"/>
      <c r="O27" s="196">
        <f>SUM(O18:P26)</f>
        <v>21000</v>
      </c>
      <c r="P27" s="197"/>
      <c r="Q27" s="196">
        <f>SUM(Q18:R26)</f>
        <v>14224</v>
      </c>
      <c r="R27" s="197"/>
      <c r="S27" s="91"/>
    </row>
    <row r="28" spans="2:19" x14ac:dyDescent="0.25">
      <c r="B28" s="166"/>
      <c r="C28" s="74"/>
      <c r="D28" s="178"/>
      <c r="E28" s="179"/>
      <c r="F28" s="77"/>
      <c r="G28" s="198">
        <f>SUM(G27:J27)</f>
        <v>51224</v>
      </c>
      <c r="H28" s="172"/>
      <c r="I28" s="172"/>
      <c r="J28" s="199"/>
      <c r="K28" s="82"/>
      <c r="L28" s="200">
        <f>+I27/L27*1000</f>
        <v>28000</v>
      </c>
      <c r="M28" s="201"/>
      <c r="N28" s="48"/>
      <c r="O28" s="202">
        <f>SUM(O27:R27)</f>
        <v>35224</v>
      </c>
      <c r="P28" s="203"/>
      <c r="Q28" s="203"/>
      <c r="R28" s="204"/>
      <c r="S28" s="83"/>
    </row>
    <row r="30" spans="2:19" x14ac:dyDescent="0.25">
      <c r="D30" s="71"/>
    </row>
    <row r="31" spans="2:19" x14ac:dyDescent="0.25">
      <c r="L31" s="216">
        <f>+L14*25500+22000000</f>
        <v>51376000</v>
      </c>
      <c r="M31" s="216"/>
    </row>
    <row r="32" spans="2:19" x14ac:dyDescent="0.25">
      <c r="L32" s="110">
        <f>+L31/16</f>
        <v>3211000</v>
      </c>
      <c r="M32" s="110"/>
    </row>
    <row r="33" spans="12:12" x14ac:dyDescent="0.25">
      <c r="L33" s="5">
        <f>+L32/1000</f>
        <v>3211</v>
      </c>
    </row>
  </sheetData>
  <mergeCells count="42">
    <mergeCell ref="L31:M31"/>
    <mergeCell ref="L27:M27"/>
    <mergeCell ref="O27:P27"/>
    <mergeCell ref="Q27:R27"/>
    <mergeCell ref="D28:E28"/>
    <mergeCell ref="G28:J28"/>
    <mergeCell ref="L28:M28"/>
    <mergeCell ref="O28:R28"/>
    <mergeCell ref="D26:E26"/>
    <mergeCell ref="G26:H26"/>
    <mergeCell ref="I26:J26"/>
    <mergeCell ref="B27:B28"/>
    <mergeCell ref="D27:E27"/>
    <mergeCell ref="G27:H27"/>
    <mergeCell ref="I27:J27"/>
    <mergeCell ref="Q17:R17"/>
    <mergeCell ref="L14:M14"/>
    <mergeCell ref="O14:P14"/>
    <mergeCell ref="Q14:R14"/>
    <mergeCell ref="D15:E15"/>
    <mergeCell ref="G15:J15"/>
    <mergeCell ref="L15:M15"/>
    <mergeCell ref="O15:R15"/>
    <mergeCell ref="D17:E17"/>
    <mergeCell ref="G17:H17"/>
    <mergeCell ref="I17:J17"/>
    <mergeCell ref="L17:M17"/>
    <mergeCell ref="O17:P17"/>
    <mergeCell ref="D13:E13"/>
    <mergeCell ref="G13:H13"/>
    <mergeCell ref="I13:J13"/>
    <mergeCell ref="B14:B15"/>
    <mergeCell ref="D14:E14"/>
    <mergeCell ref="G14:H14"/>
    <mergeCell ref="I14:J14"/>
    <mergeCell ref="B2:R2"/>
    <mergeCell ref="D4:E4"/>
    <mergeCell ref="G4:H4"/>
    <mergeCell ref="I4:J4"/>
    <mergeCell ref="L4:M4"/>
    <mergeCell ref="O4:P4"/>
    <mergeCell ref="Q4:R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25C7-2919-4F7C-AFBC-490376AB5096}">
  <sheetPr>
    <tabColor rgb="FF92D050"/>
  </sheetPr>
  <dimension ref="B2:S33"/>
  <sheetViews>
    <sheetView showGridLines="0" showZeros="0" zoomScale="115" zoomScaleNormal="115" workbookViewId="0">
      <selection activeCell="H5" sqref="H5"/>
    </sheetView>
  </sheetViews>
  <sheetFormatPr defaultRowHeight="15" x14ac:dyDescent="0.25"/>
  <cols>
    <col min="1" max="1" width="2.5703125" customWidth="1"/>
    <col min="2" max="2" width="15.5703125" style="1" customWidth="1"/>
    <col min="3" max="3" width="1.140625" customWidth="1"/>
    <col min="4" max="5" width="8.5703125" style="5" customWidth="1"/>
    <col min="6" max="6" width="1.28515625" style="3" customWidth="1"/>
    <col min="7" max="8" width="8.5703125" style="5" customWidth="1"/>
    <col min="9" max="9" width="9.140625" style="5" customWidth="1"/>
    <col min="10" max="10" width="10.42578125" style="5" customWidth="1"/>
    <col min="11" max="11" width="1.28515625" style="3" customWidth="1"/>
    <col min="12" max="12" width="8.85546875" style="5" customWidth="1"/>
    <col min="13" max="13" width="11.42578125" style="5" customWidth="1"/>
    <col min="14" max="14" width="1.28515625" style="3" customWidth="1"/>
    <col min="15" max="16" width="8.5703125" style="5" customWidth="1"/>
    <col min="17" max="17" width="9.28515625" style="5" customWidth="1"/>
    <col min="18" max="18" width="10.140625" style="5" customWidth="1"/>
    <col min="19" max="19" width="1.28515625" style="3" customWidth="1"/>
    <col min="20" max="20" width="13.7109375" customWidth="1"/>
  </cols>
  <sheetData>
    <row r="2" spans="2:19" s="106" customFormat="1" ht="22.15" customHeight="1" x14ac:dyDescent="0.25">
      <c r="B2" s="215" t="s">
        <v>55</v>
      </c>
      <c r="C2" s="215"/>
      <c r="D2" s="215"/>
      <c r="E2" s="215"/>
      <c r="F2" s="215"/>
      <c r="G2" s="215"/>
      <c r="H2" s="215"/>
      <c r="I2" s="215"/>
      <c r="J2" s="215"/>
      <c r="K2" s="215"/>
      <c r="L2" s="215"/>
      <c r="M2" s="215"/>
      <c r="N2" s="215"/>
      <c r="O2" s="215"/>
      <c r="P2" s="215"/>
      <c r="Q2" s="215"/>
      <c r="R2" s="215"/>
      <c r="S2" s="107"/>
    </row>
    <row r="4" spans="2:19" ht="24" customHeight="1" x14ac:dyDescent="0.25">
      <c r="B4" s="108" t="s">
        <v>52</v>
      </c>
      <c r="C4" s="74"/>
      <c r="D4" s="211" t="s">
        <v>5</v>
      </c>
      <c r="E4" s="212"/>
      <c r="F4" s="80"/>
      <c r="G4" s="211" t="s">
        <v>43</v>
      </c>
      <c r="H4" s="212"/>
      <c r="I4" s="160" t="s">
        <v>50</v>
      </c>
      <c r="J4" s="160"/>
      <c r="K4" s="81"/>
      <c r="L4" s="211" t="s">
        <v>51</v>
      </c>
      <c r="M4" s="212"/>
      <c r="N4" s="77"/>
      <c r="O4" s="213" t="s">
        <v>8</v>
      </c>
      <c r="P4" s="214"/>
      <c r="Q4" s="209" t="s">
        <v>42</v>
      </c>
      <c r="R4" s="210"/>
      <c r="S4" s="83"/>
    </row>
    <row r="5" spans="2:19" x14ac:dyDescent="0.25">
      <c r="B5" s="73" t="s">
        <v>11</v>
      </c>
      <c r="C5" s="74"/>
      <c r="D5" s="75">
        <v>3250</v>
      </c>
      <c r="E5" s="76">
        <v>3250</v>
      </c>
      <c r="F5" s="77"/>
      <c r="G5" s="75"/>
      <c r="H5" s="76">
        <v>6000</v>
      </c>
      <c r="I5" s="84">
        <f>+$I$14/$L$14*L5</f>
        <v>2500</v>
      </c>
      <c r="J5" s="100">
        <f t="shared" ref="J5:J12" si="0">+$I$14/$L$14*M5</f>
        <v>0</v>
      </c>
      <c r="K5" s="82"/>
      <c r="L5" s="78">
        <v>96</v>
      </c>
      <c r="M5" s="79"/>
      <c r="N5" s="48"/>
      <c r="O5" s="98"/>
      <c r="P5" s="85"/>
      <c r="Q5" s="84">
        <f>+I5-O5</f>
        <v>2500</v>
      </c>
      <c r="R5" s="100">
        <f t="shared" ref="R5:R12" si="1">+J5-P5</f>
        <v>0</v>
      </c>
      <c r="S5" s="83"/>
    </row>
    <row r="6" spans="2:19" x14ac:dyDescent="0.25">
      <c r="B6" s="73" t="s">
        <v>12</v>
      </c>
      <c r="C6" s="74"/>
      <c r="D6" s="75">
        <v>3250</v>
      </c>
      <c r="E6" s="76">
        <v>3250</v>
      </c>
      <c r="F6" s="77"/>
      <c r="G6" s="75"/>
      <c r="H6" s="76">
        <v>8000</v>
      </c>
      <c r="I6" s="84">
        <f>+$I$14/$L$14*L6</f>
        <v>2500</v>
      </c>
      <c r="J6" s="100">
        <f t="shared" si="0"/>
        <v>0</v>
      </c>
      <c r="K6" s="82"/>
      <c r="L6" s="78">
        <v>96</v>
      </c>
      <c r="M6" s="79"/>
      <c r="N6" s="48"/>
      <c r="O6" s="98">
        <v>1750</v>
      </c>
      <c r="P6" s="85"/>
      <c r="Q6" s="84">
        <f>+I6-O6</f>
        <v>750</v>
      </c>
      <c r="R6" s="100">
        <f t="shared" si="1"/>
        <v>0</v>
      </c>
      <c r="S6" s="83"/>
    </row>
    <row r="7" spans="2:19" x14ac:dyDescent="0.25">
      <c r="B7" s="73" t="s">
        <v>13</v>
      </c>
      <c r="C7" s="74"/>
      <c r="D7" s="76">
        <v>3250</v>
      </c>
      <c r="E7" s="75">
        <v>3250</v>
      </c>
      <c r="F7" s="77"/>
      <c r="G7" s="76">
        <v>8000</v>
      </c>
      <c r="H7" s="75"/>
      <c r="I7" s="87">
        <f t="shared" ref="I7:I12" si="2">+$I$14/$L$14*L7</f>
        <v>0</v>
      </c>
      <c r="J7" s="101">
        <f t="shared" si="0"/>
        <v>2500</v>
      </c>
      <c r="K7" s="82"/>
      <c r="L7" s="79"/>
      <c r="M7" s="78">
        <v>96</v>
      </c>
      <c r="N7" s="48"/>
      <c r="O7" s="99"/>
      <c r="P7" s="86">
        <v>1750</v>
      </c>
      <c r="Q7" s="87">
        <f t="shared" ref="Q7:Q12" si="3">+I7-O7</f>
        <v>0</v>
      </c>
      <c r="R7" s="101">
        <f t="shared" si="1"/>
        <v>750</v>
      </c>
      <c r="S7" s="83"/>
    </row>
    <row r="8" spans="2:19" x14ac:dyDescent="0.25">
      <c r="B8" s="73" t="s">
        <v>14</v>
      </c>
      <c r="C8" s="74"/>
      <c r="D8" s="75">
        <v>3250</v>
      </c>
      <c r="E8" s="75">
        <v>3250</v>
      </c>
      <c r="F8" s="77"/>
      <c r="G8" s="75"/>
      <c r="H8" s="75"/>
      <c r="I8" s="84">
        <f t="shared" si="2"/>
        <v>2500</v>
      </c>
      <c r="J8" s="101">
        <f t="shared" si="0"/>
        <v>2500</v>
      </c>
      <c r="K8" s="82"/>
      <c r="L8" s="78">
        <v>96</v>
      </c>
      <c r="M8" s="78">
        <v>96</v>
      </c>
      <c r="N8" s="48"/>
      <c r="O8" s="98">
        <v>1750</v>
      </c>
      <c r="P8" s="86">
        <v>1750</v>
      </c>
      <c r="Q8" s="84">
        <f t="shared" si="3"/>
        <v>750</v>
      </c>
      <c r="R8" s="101">
        <f t="shared" si="1"/>
        <v>750</v>
      </c>
      <c r="S8" s="83"/>
    </row>
    <row r="9" spans="2:19" x14ac:dyDescent="0.25">
      <c r="B9" s="73" t="s">
        <v>15</v>
      </c>
      <c r="C9" s="74"/>
      <c r="D9" s="75">
        <v>3250</v>
      </c>
      <c r="E9" s="75">
        <v>3250</v>
      </c>
      <c r="F9" s="77"/>
      <c r="G9" s="75"/>
      <c r="H9" s="75"/>
      <c r="I9" s="84">
        <f t="shared" si="2"/>
        <v>2500</v>
      </c>
      <c r="J9" s="101">
        <f t="shared" si="0"/>
        <v>2500</v>
      </c>
      <c r="K9" s="82"/>
      <c r="L9" s="78">
        <v>96</v>
      </c>
      <c r="M9" s="78">
        <v>96</v>
      </c>
      <c r="N9" s="48"/>
      <c r="O9" s="98">
        <v>1750</v>
      </c>
      <c r="P9" s="86">
        <v>1750</v>
      </c>
      <c r="Q9" s="84">
        <f t="shared" si="3"/>
        <v>750</v>
      </c>
      <c r="R9" s="101">
        <f t="shared" si="1"/>
        <v>750</v>
      </c>
      <c r="S9" s="83"/>
    </row>
    <row r="10" spans="2:19" x14ac:dyDescent="0.25">
      <c r="B10" s="73" t="s">
        <v>16</v>
      </c>
      <c r="C10" s="74"/>
      <c r="D10" s="75">
        <v>3250</v>
      </c>
      <c r="E10" s="75">
        <v>3250</v>
      </c>
      <c r="F10" s="77"/>
      <c r="G10" s="75"/>
      <c r="H10" s="75"/>
      <c r="I10" s="84">
        <f t="shared" si="2"/>
        <v>2500</v>
      </c>
      <c r="J10" s="101">
        <f t="shared" si="0"/>
        <v>2500</v>
      </c>
      <c r="K10" s="82"/>
      <c r="L10" s="78">
        <v>96</v>
      </c>
      <c r="M10" s="78">
        <v>96</v>
      </c>
      <c r="N10" s="48"/>
      <c r="O10" s="98">
        <v>1750</v>
      </c>
      <c r="P10" s="86">
        <v>1750</v>
      </c>
      <c r="Q10" s="84">
        <f t="shared" si="3"/>
        <v>750</v>
      </c>
      <c r="R10" s="101">
        <f t="shared" si="1"/>
        <v>750</v>
      </c>
      <c r="S10" s="83"/>
    </row>
    <row r="11" spans="2:19" x14ac:dyDescent="0.25">
      <c r="B11" s="73" t="s">
        <v>17</v>
      </c>
      <c r="C11" s="74"/>
      <c r="D11" s="75">
        <v>3250</v>
      </c>
      <c r="E11" s="75">
        <v>3250</v>
      </c>
      <c r="F11" s="77"/>
      <c r="G11" s="75"/>
      <c r="H11" s="75"/>
      <c r="I11" s="84">
        <f t="shared" si="2"/>
        <v>1875</v>
      </c>
      <c r="J11" s="101">
        <f t="shared" si="0"/>
        <v>1875</v>
      </c>
      <c r="K11" s="82"/>
      <c r="L11" s="78">
        <v>72</v>
      </c>
      <c r="M11" s="78">
        <v>72</v>
      </c>
      <c r="N11" s="48"/>
      <c r="O11" s="98">
        <v>1750</v>
      </c>
      <c r="P11" s="86">
        <v>1750</v>
      </c>
      <c r="Q11" s="84">
        <f t="shared" si="3"/>
        <v>125</v>
      </c>
      <c r="R11" s="101">
        <f t="shared" si="1"/>
        <v>125</v>
      </c>
      <c r="S11" s="83"/>
    </row>
    <row r="12" spans="2:19" x14ac:dyDescent="0.25">
      <c r="B12" s="73" t="s">
        <v>18</v>
      </c>
      <c r="C12" s="74"/>
      <c r="D12" s="75">
        <v>3250</v>
      </c>
      <c r="E12" s="75">
        <v>3250</v>
      </c>
      <c r="F12" s="77"/>
      <c r="G12" s="75"/>
      <c r="H12" s="75"/>
      <c r="I12" s="84">
        <f t="shared" si="2"/>
        <v>1875</v>
      </c>
      <c r="J12" s="101">
        <f t="shared" si="0"/>
        <v>1875</v>
      </c>
      <c r="K12" s="82"/>
      <c r="L12" s="78">
        <v>72</v>
      </c>
      <c r="M12" s="78">
        <v>72</v>
      </c>
      <c r="N12" s="48"/>
      <c r="O12" s="98">
        <v>875</v>
      </c>
      <c r="P12" s="86">
        <v>875</v>
      </c>
      <c r="Q12" s="84">
        <f t="shared" si="3"/>
        <v>1000</v>
      </c>
      <c r="R12" s="101">
        <f t="shared" si="1"/>
        <v>1000</v>
      </c>
      <c r="S12" s="83"/>
    </row>
    <row r="13" spans="2:19" ht="15.75" thickBot="1" x14ac:dyDescent="0.3">
      <c r="B13" s="92" t="s">
        <v>41</v>
      </c>
      <c r="C13" s="93"/>
      <c r="D13" s="205"/>
      <c r="E13" s="206"/>
      <c r="F13" s="94"/>
      <c r="G13" s="205"/>
      <c r="H13" s="206"/>
      <c r="I13" s="176"/>
      <c r="J13" s="177"/>
      <c r="K13" s="95"/>
      <c r="L13" s="97"/>
      <c r="M13" s="97"/>
      <c r="N13" s="60"/>
      <c r="O13" s="102"/>
      <c r="P13" s="103"/>
      <c r="Q13" s="104"/>
      <c r="R13" s="105"/>
      <c r="S13" s="96"/>
    </row>
    <row r="14" spans="2:19" ht="15.75" thickTop="1" x14ac:dyDescent="0.25">
      <c r="B14" s="165"/>
      <c r="C14" s="88"/>
      <c r="D14" s="196">
        <f>SUM(D5:E13)</f>
        <v>52000</v>
      </c>
      <c r="E14" s="197"/>
      <c r="F14" s="89"/>
      <c r="G14" s="196">
        <f>SUM(G5:H13)</f>
        <v>22000</v>
      </c>
      <c r="H14" s="197"/>
      <c r="I14" s="207">
        <f>+D14-G14</f>
        <v>30000</v>
      </c>
      <c r="J14" s="208"/>
      <c r="K14" s="90"/>
      <c r="L14" s="194">
        <f>SUM(L5:M13)</f>
        <v>1152</v>
      </c>
      <c r="M14" s="195"/>
      <c r="N14" s="48"/>
      <c r="O14" s="196">
        <f>SUM(O5:P13)</f>
        <v>19250</v>
      </c>
      <c r="P14" s="197"/>
      <c r="Q14" s="196">
        <f>SUM(Q5:R13)</f>
        <v>10750</v>
      </c>
      <c r="R14" s="197"/>
      <c r="S14" s="91"/>
    </row>
    <row r="15" spans="2:19" x14ac:dyDescent="0.25">
      <c r="B15" s="166"/>
      <c r="C15" s="74"/>
      <c r="D15" s="178"/>
      <c r="E15" s="179"/>
      <c r="F15" s="77"/>
      <c r="G15" s="198">
        <f>SUM(G14:J14)</f>
        <v>52000</v>
      </c>
      <c r="H15" s="172"/>
      <c r="I15" s="172"/>
      <c r="J15" s="199"/>
      <c r="K15" s="82"/>
      <c r="L15" s="200">
        <f>+I14/L14*1000</f>
        <v>26041.666666666668</v>
      </c>
      <c r="M15" s="201"/>
      <c r="N15" s="48"/>
      <c r="O15" s="202">
        <f>SUM(O14:R14)</f>
        <v>30000</v>
      </c>
      <c r="P15" s="203"/>
      <c r="Q15" s="203"/>
      <c r="R15" s="204"/>
      <c r="S15" s="83"/>
    </row>
    <row r="17" spans="2:19" ht="24" customHeight="1" x14ac:dyDescent="0.25">
      <c r="B17" s="108" t="s">
        <v>53</v>
      </c>
      <c r="C17" s="74"/>
      <c r="D17" s="211" t="s">
        <v>5</v>
      </c>
      <c r="E17" s="212"/>
      <c r="F17" s="80"/>
      <c r="G17" s="211" t="s">
        <v>43</v>
      </c>
      <c r="H17" s="212"/>
      <c r="I17" s="160" t="s">
        <v>50</v>
      </c>
      <c r="J17" s="160"/>
      <c r="K17" s="81"/>
      <c r="L17" s="211" t="s">
        <v>51</v>
      </c>
      <c r="M17" s="212"/>
      <c r="N17" s="77"/>
      <c r="O17" s="213" t="s">
        <v>8</v>
      </c>
      <c r="P17" s="214"/>
      <c r="Q17" s="209" t="s">
        <v>42</v>
      </c>
      <c r="R17" s="210"/>
      <c r="S17" s="83"/>
    </row>
    <row r="18" spans="2:19" x14ac:dyDescent="0.25">
      <c r="B18" s="73" t="s">
        <v>11</v>
      </c>
      <c r="C18" s="74"/>
      <c r="D18" s="75">
        <v>3201.5</v>
      </c>
      <c r="E18" s="76">
        <v>3201.5</v>
      </c>
      <c r="F18" s="77"/>
      <c r="G18" s="75"/>
      <c r="H18" s="75"/>
      <c r="I18" s="84">
        <f>+$I$27/$L$27*L18</f>
        <v>2716</v>
      </c>
      <c r="J18" s="101">
        <f t="shared" ref="J18:J25" si="4">+$I$27/$L$27*M18</f>
        <v>2716</v>
      </c>
      <c r="K18" s="82"/>
      <c r="L18" s="78">
        <v>97</v>
      </c>
      <c r="M18" s="78">
        <v>97</v>
      </c>
      <c r="N18" s="48"/>
      <c r="O18" s="98"/>
      <c r="P18" s="86"/>
      <c r="Q18" s="84">
        <f>+I18-O18</f>
        <v>2716</v>
      </c>
      <c r="R18" s="101">
        <f t="shared" ref="R18:R25" si="5">+J18-P18</f>
        <v>2716</v>
      </c>
      <c r="S18" s="83"/>
    </row>
    <row r="19" spans="2:19" x14ac:dyDescent="0.25">
      <c r="B19" s="73" t="s">
        <v>12</v>
      </c>
      <c r="C19" s="74"/>
      <c r="D19" s="75">
        <v>3201.5</v>
      </c>
      <c r="E19" s="75">
        <v>3201.5</v>
      </c>
      <c r="F19" s="77"/>
      <c r="G19" s="75"/>
      <c r="H19" s="75"/>
      <c r="I19" s="84">
        <f t="shared" ref="I19:I25" si="6">+$I$27/$L$27*L19</f>
        <v>2716</v>
      </c>
      <c r="J19" s="101">
        <f t="shared" si="4"/>
        <v>2716</v>
      </c>
      <c r="K19" s="82"/>
      <c r="L19" s="78">
        <v>97</v>
      </c>
      <c r="M19" s="78">
        <v>97</v>
      </c>
      <c r="N19" s="48"/>
      <c r="O19" s="98">
        <v>1750</v>
      </c>
      <c r="P19" s="86">
        <v>1750</v>
      </c>
      <c r="Q19" s="84">
        <f t="shared" ref="Q19:Q25" si="7">+I19-O19</f>
        <v>966</v>
      </c>
      <c r="R19" s="101">
        <f t="shared" si="5"/>
        <v>966</v>
      </c>
      <c r="S19" s="83"/>
    </row>
    <row r="20" spans="2:19" x14ac:dyDescent="0.25">
      <c r="B20" s="73" t="s">
        <v>13</v>
      </c>
      <c r="C20" s="74"/>
      <c r="D20" s="76">
        <v>3201.5</v>
      </c>
      <c r="E20" s="76">
        <v>3201.5</v>
      </c>
      <c r="F20" s="77"/>
      <c r="G20" s="76">
        <v>8000</v>
      </c>
      <c r="H20" s="76">
        <v>8000</v>
      </c>
      <c r="I20" s="87">
        <f t="shared" si="6"/>
        <v>0</v>
      </c>
      <c r="J20" s="100">
        <f t="shared" si="4"/>
        <v>0</v>
      </c>
      <c r="K20" s="82"/>
      <c r="L20" s="79"/>
      <c r="M20" s="79"/>
      <c r="N20" s="48"/>
      <c r="O20" s="99"/>
      <c r="P20" s="85"/>
      <c r="Q20" s="87">
        <f t="shared" si="7"/>
        <v>0</v>
      </c>
      <c r="R20" s="100">
        <f t="shared" si="5"/>
        <v>0</v>
      </c>
      <c r="S20" s="83"/>
    </row>
    <row r="21" spans="2:19" x14ac:dyDescent="0.25">
      <c r="B21" s="73" t="s">
        <v>14</v>
      </c>
      <c r="C21" s="74"/>
      <c r="D21" s="75">
        <v>3201.5</v>
      </c>
      <c r="E21" s="75">
        <v>3201.5</v>
      </c>
      <c r="F21" s="77"/>
      <c r="G21" s="75"/>
      <c r="H21" s="75"/>
      <c r="I21" s="84">
        <f t="shared" si="6"/>
        <v>2716</v>
      </c>
      <c r="J21" s="101">
        <f t="shared" si="4"/>
        <v>2716</v>
      </c>
      <c r="K21" s="82"/>
      <c r="L21" s="78">
        <v>97</v>
      </c>
      <c r="M21" s="78">
        <v>97</v>
      </c>
      <c r="N21" s="48"/>
      <c r="O21" s="98">
        <v>1750</v>
      </c>
      <c r="P21" s="86">
        <v>1750</v>
      </c>
      <c r="Q21" s="84">
        <f t="shared" si="7"/>
        <v>966</v>
      </c>
      <c r="R21" s="101">
        <f t="shared" si="5"/>
        <v>966</v>
      </c>
      <c r="S21" s="83"/>
    </row>
    <row r="22" spans="2:19" x14ac:dyDescent="0.25">
      <c r="B22" s="73" t="s">
        <v>15</v>
      </c>
      <c r="C22" s="74"/>
      <c r="D22" s="75">
        <v>3201.5</v>
      </c>
      <c r="E22" s="75">
        <v>3201.5</v>
      </c>
      <c r="F22" s="77"/>
      <c r="G22" s="75"/>
      <c r="H22" s="75"/>
      <c r="I22" s="84">
        <f t="shared" si="6"/>
        <v>2716</v>
      </c>
      <c r="J22" s="101">
        <f t="shared" si="4"/>
        <v>2716</v>
      </c>
      <c r="K22" s="82"/>
      <c r="L22" s="78">
        <v>97</v>
      </c>
      <c r="M22" s="78">
        <v>97</v>
      </c>
      <c r="N22" s="48"/>
      <c r="O22" s="98">
        <v>1750</v>
      </c>
      <c r="P22" s="86">
        <v>1750</v>
      </c>
      <c r="Q22" s="84">
        <f t="shared" si="7"/>
        <v>966</v>
      </c>
      <c r="R22" s="101">
        <f t="shared" si="5"/>
        <v>966</v>
      </c>
      <c r="S22" s="83"/>
    </row>
    <row r="23" spans="2:19" x14ac:dyDescent="0.25">
      <c r="B23" s="73" t="s">
        <v>16</v>
      </c>
      <c r="C23" s="74"/>
      <c r="D23" s="75">
        <v>3201.5</v>
      </c>
      <c r="E23" s="75">
        <v>3201.5</v>
      </c>
      <c r="F23" s="77"/>
      <c r="G23" s="75"/>
      <c r="H23" s="75"/>
      <c r="I23" s="84">
        <f t="shared" si="6"/>
        <v>2716</v>
      </c>
      <c r="J23" s="101">
        <f t="shared" si="4"/>
        <v>2716</v>
      </c>
      <c r="K23" s="82"/>
      <c r="L23" s="78">
        <v>97</v>
      </c>
      <c r="M23" s="78">
        <v>97</v>
      </c>
      <c r="N23" s="48"/>
      <c r="O23" s="98">
        <v>1750</v>
      </c>
      <c r="P23" s="86">
        <v>1750</v>
      </c>
      <c r="Q23" s="84">
        <f t="shared" si="7"/>
        <v>966</v>
      </c>
      <c r="R23" s="101">
        <f t="shared" si="5"/>
        <v>966</v>
      </c>
      <c r="S23" s="83"/>
    </row>
    <row r="24" spans="2:19" x14ac:dyDescent="0.25">
      <c r="B24" s="73" t="s">
        <v>17</v>
      </c>
      <c r="C24" s="74"/>
      <c r="D24" s="75">
        <v>3201.5</v>
      </c>
      <c r="E24" s="75">
        <v>3201.5</v>
      </c>
      <c r="F24" s="77"/>
      <c r="G24" s="75"/>
      <c r="H24" s="75"/>
      <c r="I24" s="84">
        <f t="shared" si="6"/>
        <v>2016</v>
      </c>
      <c r="J24" s="101">
        <f t="shared" si="4"/>
        <v>2016</v>
      </c>
      <c r="K24" s="82"/>
      <c r="L24" s="78">
        <v>72</v>
      </c>
      <c r="M24" s="78">
        <v>72</v>
      </c>
      <c r="N24" s="48"/>
      <c r="O24" s="98">
        <v>1750</v>
      </c>
      <c r="P24" s="86">
        <v>1750</v>
      </c>
      <c r="Q24" s="84">
        <f t="shared" si="7"/>
        <v>266</v>
      </c>
      <c r="R24" s="101">
        <f t="shared" si="5"/>
        <v>266</v>
      </c>
      <c r="S24" s="83"/>
    </row>
    <row r="25" spans="2:19" x14ac:dyDescent="0.25">
      <c r="B25" s="73" t="s">
        <v>18</v>
      </c>
      <c r="C25" s="74"/>
      <c r="D25" s="75">
        <v>3201.5</v>
      </c>
      <c r="E25" s="75">
        <v>3201.5</v>
      </c>
      <c r="F25" s="77"/>
      <c r="G25" s="75"/>
      <c r="H25" s="75"/>
      <c r="I25" s="84">
        <f t="shared" si="6"/>
        <v>2016</v>
      </c>
      <c r="J25" s="101">
        <f t="shared" si="4"/>
        <v>2016</v>
      </c>
      <c r="K25" s="82"/>
      <c r="L25" s="78">
        <v>72</v>
      </c>
      <c r="M25" s="78">
        <v>72</v>
      </c>
      <c r="N25" s="48"/>
      <c r="O25" s="98">
        <v>1750</v>
      </c>
      <c r="P25" s="86">
        <v>1750</v>
      </c>
      <c r="Q25" s="84">
        <f t="shared" si="7"/>
        <v>266</v>
      </c>
      <c r="R25" s="101">
        <f t="shared" si="5"/>
        <v>266</v>
      </c>
      <c r="S25" s="83"/>
    </row>
    <row r="26" spans="2:19" ht="15.75" thickBot="1" x14ac:dyDescent="0.3">
      <c r="B26" s="92" t="s">
        <v>41</v>
      </c>
      <c r="C26" s="93"/>
      <c r="D26" s="205"/>
      <c r="E26" s="206"/>
      <c r="F26" s="94"/>
      <c r="G26" s="205"/>
      <c r="H26" s="206"/>
      <c r="I26" s="176"/>
      <c r="J26" s="177"/>
      <c r="K26" s="95"/>
      <c r="L26" s="97"/>
      <c r="M26" s="97"/>
      <c r="N26" s="60"/>
      <c r="O26" s="102"/>
      <c r="P26" s="103"/>
      <c r="Q26" s="104"/>
      <c r="R26" s="105"/>
      <c r="S26" s="96"/>
    </row>
    <row r="27" spans="2:19" ht="15.75" thickTop="1" x14ac:dyDescent="0.25">
      <c r="B27" s="165"/>
      <c r="C27" s="88"/>
      <c r="D27" s="196">
        <f>SUM(D18:E26)</f>
        <v>51224</v>
      </c>
      <c r="E27" s="197"/>
      <c r="F27" s="89"/>
      <c r="G27" s="196">
        <f>SUM(G18:H26)</f>
        <v>16000</v>
      </c>
      <c r="H27" s="197"/>
      <c r="I27" s="207">
        <f>+D27-G27</f>
        <v>35224</v>
      </c>
      <c r="J27" s="208"/>
      <c r="K27" s="90"/>
      <c r="L27" s="194">
        <f>SUM(L18:M26)</f>
        <v>1258</v>
      </c>
      <c r="M27" s="195"/>
      <c r="N27" s="48"/>
      <c r="O27" s="196">
        <f>SUM(O18:P26)</f>
        <v>21000</v>
      </c>
      <c r="P27" s="197"/>
      <c r="Q27" s="196">
        <f>SUM(Q18:R26)</f>
        <v>14224</v>
      </c>
      <c r="R27" s="197"/>
      <c r="S27" s="91"/>
    </row>
    <row r="28" spans="2:19" x14ac:dyDescent="0.25">
      <c r="B28" s="166"/>
      <c r="C28" s="74"/>
      <c r="D28" s="178"/>
      <c r="E28" s="179"/>
      <c r="F28" s="77"/>
      <c r="G28" s="198">
        <f>SUM(G27:J27)</f>
        <v>51224</v>
      </c>
      <c r="H28" s="172"/>
      <c r="I28" s="172"/>
      <c r="J28" s="199"/>
      <c r="K28" s="82"/>
      <c r="L28" s="200">
        <f>+I27/L27*1000</f>
        <v>28000</v>
      </c>
      <c r="M28" s="201"/>
      <c r="N28" s="48"/>
      <c r="O28" s="202">
        <f>SUM(O27:R27)</f>
        <v>35224</v>
      </c>
      <c r="P28" s="203"/>
      <c r="Q28" s="203"/>
      <c r="R28" s="204"/>
      <c r="S28" s="83"/>
    </row>
    <row r="30" spans="2:19" x14ac:dyDescent="0.25">
      <c r="D30" s="71"/>
    </row>
    <row r="31" spans="2:19" x14ac:dyDescent="0.25">
      <c r="L31" s="216">
        <f>+L14*25500+22000000</f>
        <v>51376000</v>
      </c>
      <c r="M31" s="216"/>
    </row>
    <row r="32" spans="2:19" x14ac:dyDescent="0.25">
      <c r="L32" s="110">
        <f>+L31/16</f>
        <v>3211000</v>
      </c>
      <c r="M32" s="110"/>
    </row>
    <row r="33" spans="12:12" x14ac:dyDescent="0.25">
      <c r="L33" s="5">
        <f>+L32/1000</f>
        <v>3211</v>
      </c>
    </row>
  </sheetData>
  <mergeCells count="42">
    <mergeCell ref="L31:M31"/>
    <mergeCell ref="L27:M27"/>
    <mergeCell ref="O27:P27"/>
    <mergeCell ref="Q27:R27"/>
    <mergeCell ref="D28:E28"/>
    <mergeCell ref="G28:J28"/>
    <mergeCell ref="L28:M28"/>
    <mergeCell ref="O28:R28"/>
    <mergeCell ref="D26:E26"/>
    <mergeCell ref="G26:H26"/>
    <mergeCell ref="I26:J26"/>
    <mergeCell ref="B27:B28"/>
    <mergeCell ref="D27:E27"/>
    <mergeCell ref="G27:H27"/>
    <mergeCell ref="I27:J27"/>
    <mergeCell ref="Q17:R17"/>
    <mergeCell ref="L14:M14"/>
    <mergeCell ref="O14:P14"/>
    <mergeCell ref="Q14:R14"/>
    <mergeCell ref="D15:E15"/>
    <mergeCell ref="G15:J15"/>
    <mergeCell ref="L15:M15"/>
    <mergeCell ref="O15:R15"/>
    <mergeCell ref="D17:E17"/>
    <mergeCell ref="G17:H17"/>
    <mergeCell ref="I17:J17"/>
    <mergeCell ref="L17:M17"/>
    <mergeCell ref="O17:P17"/>
    <mergeCell ref="D13:E13"/>
    <mergeCell ref="G13:H13"/>
    <mergeCell ref="I13:J13"/>
    <mergeCell ref="B14:B15"/>
    <mergeCell ref="D14:E14"/>
    <mergeCell ref="G14:H14"/>
    <mergeCell ref="I14:J14"/>
    <mergeCell ref="B2:R2"/>
    <mergeCell ref="D4:E4"/>
    <mergeCell ref="G4:H4"/>
    <mergeCell ref="I4:J4"/>
    <mergeCell ref="L4:M4"/>
    <mergeCell ref="O4:P4"/>
    <mergeCell ref="Q4:R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F025E-932E-4194-AE9A-FEDA2BAB4677}">
  <sheetPr>
    <tabColor rgb="FF92D050"/>
  </sheetPr>
  <dimension ref="B2:O18"/>
  <sheetViews>
    <sheetView showGridLines="0" showZeros="0" zoomScale="115" zoomScaleNormal="115" workbookViewId="0">
      <selection activeCell="F1" sqref="F1:F1048576"/>
    </sheetView>
  </sheetViews>
  <sheetFormatPr defaultRowHeight="15" x14ac:dyDescent="0.25"/>
  <cols>
    <col min="1" max="1" width="2.5703125" customWidth="1"/>
    <col min="2" max="2" width="10.42578125" style="1" customWidth="1"/>
    <col min="3" max="3" width="1.140625" customWidth="1"/>
    <col min="4" max="4" width="12" style="110" customWidth="1"/>
    <col min="5" max="5" width="16" style="110" customWidth="1"/>
    <col min="6" max="6" width="15.85546875" style="110" customWidth="1"/>
    <col min="7" max="7" width="16" style="110" customWidth="1"/>
    <col min="8" max="8" width="1.28515625" customWidth="1"/>
    <col min="9" max="9" width="1.140625" customWidth="1"/>
    <col min="10" max="10" width="16" style="110" customWidth="1"/>
    <col min="11" max="11" width="1.140625" customWidth="1"/>
    <col min="12" max="13" width="16" style="110" customWidth="1"/>
    <col min="14" max="14" width="1.7109375" customWidth="1"/>
    <col min="15" max="15" width="16" style="110" customWidth="1"/>
    <col min="16" max="16" width="1.140625" customWidth="1"/>
    <col min="18" max="18" width="11" customWidth="1"/>
  </cols>
  <sheetData>
    <row r="2" spans="2:15" ht="70.150000000000006" customHeight="1" x14ac:dyDescent="0.25">
      <c r="B2" s="111" t="s">
        <v>56</v>
      </c>
      <c r="D2" s="113" t="s">
        <v>61</v>
      </c>
      <c r="E2" s="113" t="s">
        <v>59</v>
      </c>
      <c r="F2" s="113" t="s">
        <v>60</v>
      </c>
      <c r="G2" s="113" t="s">
        <v>62</v>
      </c>
      <c r="H2" s="120"/>
      <c r="I2" s="120"/>
      <c r="J2" s="113" t="s">
        <v>67</v>
      </c>
      <c r="K2" s="120"/>
      <c r="L2" s="113" t="s">
        <v>66</v>
      </c>
      <c r="M2" s="113" t="s">
        <v>65</v>
      </c>
      <c r="N2" s="120"/>
      <c r="O2" s="113" t="s">
        <v>63</v>
      </c>
    </row>
    <row r="3" spans="2:15" x14ac:dyDescent="0.25">
      <c r="B3" s="112">
        <v>5</v>
      </c>
      <c r="D3" s="114">
        <f>96*2</f>
        <v>192</v>
      </c>
      <c r="E3" s="118">
        <v>34000</v>
      </c>
      <c r="F3" s="114">
        <f t="shared" ref="F3:F16" si="0">143*(D3/SUM($D$3:$D$16))</f>
        <v>19.066666666666666</v>
      </c>
      <c r="G3" s="115">
        <f>SUM(D3:F3)</f>
        <v>34211.066666666666</v>
      </c>
      <c r="H3" s="120"/>
      <c r="I3" s="120"/>
      <c r="J3" s="117">
        <f t="shared" ref="J3:J16" si="1">+G3*E3</f>
        <v>1163176266.6666667</v>
      </c>
      <c r="K3" s="120"/>
      <c r="L3" s="119"/>
      <c r="M3" s="117">
        <v>12000000</v>
      </c>
      <c r="N3" s="120"/>
      <c r="O3" s="116"/>
    </row>
    <row r="4" spans="2:15" x14ac:dyDescent="0.25">
      <c r="B4" s="112">
        <v>5</v>
      </c>
      <c r="D4" s="114">
        <f>96*2</f>
        <v>192</v>
      </c>
      <c r="E4" s="118">
        <v>34000</v>
      </c>
      <c r="F4" s="114">
        <f t="shared" si="0"/>
        <v>19.066666666666666</v>
      </c>
      <c r="G4" s="115">
        <f t="shared" ref="G4:G16" si="2">SUM(D4:F4)</f>
        <v>34211.066666666666</v>
      </c>
      <c r="H4" s="120"/>
      <c r="I4" s="120"/>
      <c r="J4" s="117">
        <f t="shared" si="1"/>
        <v>1163176266.6666667</v>
      </c>
      <c r="K4" s="120"/>
      <c r="L4" s="117">
        <v>1750000</v>
      </c>
      <c r="M4" s="117"/>
      <c r="N4" s="120"/>
      <c r="O4" s="116">
        <f>+$O$17*(G4/SUM($G$4:$G$5,$G$7:$G$16))</f>
        <v>1354057959.7953799</v>
      </c>
    </row>
    <row r="5" spans="2:15" x14ac:dyDescent="0.25">
      <c r="B5" s="112">
        <v>4</v>
      </c>
      <c r="D5" s="114">
        <v>96</v>
      </c>
      <c r="E5" s="118">
        <v>34000</v>
      </c>
      <c r="F5" s="114">
        <f t="shared" si="0"/>
        <v>9.5333333333333332</v>
      </c>
      <c r="G5" s="115">
        <f t="shared" si="2"/>
        <v>34105.533333333333</v>
      </c>
      <c r="H5" s="120"/>
      <c r="I5" s="120"/>
      <c r="J5" s="117">
        <f t="shared" si="1"/>
        <v>1159588133.3333333</v>
      </c>
      <c r="K5" s="120"/>
      <c r="L5" s="117">
        <v>1750000</v>
      </c>
      <c r="M5" s="117"/>
      <c r="N5" s="120"/>
      <c r="O5" s="116">
        <f>+$O$17*(G5/SUM($G$4:$G$5,$G$7:$G$16))</f>
        <v>1349880999.9999998</v>
      </c>
    </row>
    <row r="6" spans="2:15" x14ac:dyDescent="0.25">
      <c r="B6" s="112">
        <v>4</v>
      </c>
      <c r="D6" s="114">
        <v>96</v>
      </c>
      <c r="E6" s="118">
        <v>34000</v>
      </c>
      <c r="F6" s="114">
        <f t="shared" si="0"/>
        <v>9.5333333333333332</v>
      </c>
      <c r="G6" s="115">
        <f t="shared" si="2"/>
        <v>34105.533333333333</v>
      </c>
      <c r="H6" s="120"/>
      <c r="I6" s="120"/>
      <c r="J6" s="117">
        <f t="shared" si="1"/>
        <v>1159588133.3333333</v>
      </c>
      <c r="K6" s="120"/>
      <c r="L6" s="119"/>
      <c r="M6" s="117">
        <v>8000000</v>
      </c>
      <c r="N6" s="120"/>
      <c r="O6" s="116">
        <f>+O20*(G6/$J$17)</f>
        <v>0</v>
      </c>
    </row>
    <row r="7" spans="2:15" x14ac:dyDescent="0.25">
      <c r="B7" s="112">
        <v>3</v>
      </c>
      <c r="D7" s="114">
        <v>96</v>
      </c>
      <c r="E7" s="118">
        <v>34000</v>
      </c>
      <c r="F7" s="114">
        <f t="shared" si="0"/>
        <v>9.5333333333333332</v>
      </c>
      <c r="G7" s="115">
        <f t="shared" si="2"/>
        <v>34105.533333333333</v>
      </c>
      <c r="H7" s="120"/>
      <c r="I7" s="120"/>
      <c r="J7" s="117">
        <f t="shared" si="1"/>
        <v>1159588133.3333333</v>
      </c>
      <c r="K7" s="120"/>
      <c r="L7" s="117">
        <v>1750000</v>
      </c>
      <c r="M7" s="117"/>
      <c r="N7" s="120"/>
      <c r="O7" s="116">
        <f t="shared" ref="O7:O16" si="3">+$O$17*(G7/SUM($G$4:$G$5,$G$7:$G$16))</f>
        <v>1349880999.9999998</v>
      </c>
    </row>
    <row r="8" spans="2:15" x14ac:dyDescent="0.25">
      <c r="B8" s="112">
        <v>3</v>
      </c>
      <c r="D8" s="114">
        <v>96</v>
      </c>
      <c r="E8" s="118">
        <v>34000</v>
      </c>
      <c r="F8" s="114">
        <f t="shared" si="0"/>
        <v>9.5333333333333332</v>
      </c>
      <c r="G8" s="115">
        <f t="shared" si="2"/>
        <v>34105.533333333333</v>
      </c>
      <c r="H8" s="120"/>
      <c r="I8" s="120"/>
      <c r="J8" s="117">
        <f t="shared" si="1"/>
        <v>1159588133.3333333</v>
      </c>
      <c r="K8" s="120"/>
      <c r="L8" s="117">
        <v>1750000</v>
      </c>
      <c r="M8" s="117"/>
      <c r="N8" s="120"/>
      <c r="O8" s="116">
        <f t="shared" si="3"/>
        <v>1349880999.9999998</v>
      </c>
    </row>
    <row r="9" spans="2:15" x14ac:dyDescent="0.25">
      <c r="B9" s="112">
        <v>2</v>
      </c>
      <c r="D9" s="114">
        <v>96</v>
      </c>
      <c r="E9" s="118">
        <v>34000</v>
      </c>
      <c r="F9" s="114">
        <f t="shared" si="0"/>
        <v>9.5333333333333332</v>
      </c>
      <c r="G9" s="115">
        <f t="shared" si="2"/>
        <v>34105.533333333333</v>
      </c>
      <c r="H9" s="120"/>
      <c r="I9" s="120"/>
      <c r="J9" s="117">
        <f t="shared" si="1"/>
        <v>1159588133.3333333</v>
      </c>
      <c r="K9" s="120"/>
      <c r="L9" s="117">
        <v>1750000</v>
      </c>
      <c r="M9" s="117"/>
      <c r="N9" s="120"/>
      <c r="O9" s="116">
        <f t="shared" si="3"/>
        <v>1349880999.9999998</v>
      </c>
    </row>
    <row r="10" spans="2:15" x14ac:dyDescent="0.25">
      <c r="B10" s="112">
        <v>2</v>
      </c>
      <c r="D10" s="114">
        <v>96</v>
      </c>
      <c r="E10" s="118">
        <v>34000</v>
      </c>
      <c r="F10" s="114">
        <f t="shared" si="0"/>
        <v>9.5333333333333332</v>
      </c>
      <c r="G10" s="115">
        <f t="shared" si="2"/>
        <v>34105.533333333333</v>
      </c>
      <c r="H10" s="120"/>
      <c r="I10" s="120"/>
      <c r="J10" s="117">
        <f t="shared" si="1"/>
        <v>1159588133.3333333</v>
      </c>
      <c r="K10" s="120"/>
      <c r="L10" s="117">
        <v>1750000</v>
      </c>
      <c r="M10" s="117"/>
      <c r="N10" s="120"/>
      <c r="O10" s="116">
        <f t="shared" si="3"/>
        <v>1349880999.9999998</v>
      </c>
    </row>
    <row r="11" spans="2:15" x14ac:dyDescent="0.25">
      <c r="B11" s="112">
        <v>1</v>
      </c>
      <c r="D11" s="114">
        <v>96</v>
      </c>
      <c r="E11" s="118">
        <v>34000</v>
      </c>
      <c r="F11" s="114">
        <f t="shared" si="0"/>
        <v>9.5333333333333332</v>
      </c>
      <c r="G11" s="115">
        <f t="shared" si="2"/>
        <v>34105.533333333333</v>
      </c>
      <c r="H11" s="120"/>
      <c r="I11" s="120"/>
      <c r="J11" s="117">
        <f t="shared" si="1"/>
        <v>1159588133.3333333</v>
      </c>
      <c r="K11" s="120"/>
      <c r="L11" s="117">
        <v>1750000</v>
      </c>
      <c r="M11" s="117"/>
      <c r="N11" s="120"/>
      <c r="O11" s="116">
        <f t="shared" si="3"/>
        <v>1349880999.9999998</v>
      </c>
    </row>
    <row r="12" spans="2:15" x14ac:dyDescent="0.25">
      <c r="B12" s="112">
        <v>1</v>
      </c>
      <c r="D12" s="114">
        <v>96</v>
      </c>
      <c r="E12" s="118">
        <v>34000</v>
      </c>
      <c r="F12" s="114">
        <f t="shared" si="0"/>
        <v>9.5333333333333332</v>
      </c>
      <c r="G12" s="115">
        <f t="shared" si="2"/>
        <v>34105.533333333333</v>
      </c>
      <c r="H12" s="120"/>
      <c r="I12" s="120"/>
      <c r="J12" s="117">
        <f t="shared" si="1"/>
        <v>1159588133.3333333</v>
      </c>
      <c r="K12" s="120"/>
      <c r="L12" s="117">
        <v>1750000</v>
      </c>
      <c r="M12" s="117"/>
      <c r="N12" s="120"/>
      <c r="O12" s="116">
        <f t="shared" si="3"/>
        <v>1349880999.9999998</v>
      </c>
    </row>
    <row r="13" spans="2:15" x14ac:dyDescent="0.25">
      <c r="B13" s="112" t="s">
        <v>57</v>
      </c>
      <c r="D13" s="114">
        <v>72</v>
      </c>
      <c r="E13" s="118">
        <v>34000</v>
      </c>
      <c r="F13" s="114">
        <f t="shared" si="0"/>
        <v>7.15</v>
      </c>
      <c r="G13" s="115">
        <f t="shared" si="2"/>
        <v>34079.15</v>
      </c>
      <c r="H13" s="120"/>
      <c r="I13" s="120"/>
      <c r="J13" s="117">
        <f t="shared" si="1"/>
        <v>1158691100</v>
      </c>
      <c r="K13" s="120"/>
      <c r="L13" s="117">
        <v>1750000</v>
      </c>
      <c r="M13" s="117"/>
      <c r="N13" s="120"/>
      <c r="O13" s="116">
        <f t="shared" si="3"/>
        <v>1348836760.0511546</v>
      </c>
    </row>
    <row r="14" spans="2:15" x14ac:dyDescent="0.25">
      <c r="B14" s="112" t="s">
        <v>57</v>
      </c>
      <c r="D14" s="114">
        <v>72</v>
      </c>
      <c r="E14" s="118">
        <v>34000</v>
      </c>
      <c r="F14" s="114">
        <f t="shared" si="0"/>
        <v>7.15</v>
      </c>
      <c r="G14" s="115">
        <f t="shared" si="2"/>
        <v>34079.15</v>
      </c>
      <c r="H14" s="120"/>
      <c r="I14" s="120"/>
      <c r="J14" s="117">
        <f t="shared" si="1"/>
        <v>1158691100</v>
      </c>
      <c r="K14" s="120"/>
      <c r="L14" s="117">
        <v>1750000</v>
      </c>
      <c r="M14" s="117"/>
      <c r="N14" s="120"/>
      <c r="O14" s="116">
        <f t="shared" si="3"/>
        <v>1348836760.0511546</v>
      </c>
    </row>
    <row r="15" spans="2:15" x14ac:dyDescent="0.25">
      <c r="B15" s="112" t="s">
        <v>58</v>
      </c>
      <c r="D15" s="114">
        <v>72</v>
      </c>
      <c r="E15" s="118">
        <v>34000</v>
      </c>
      <c r="F15" s="114">
        <f t="shared" si="0"/>
        <v>7.15</v>
      </c>
      <c r="G15" s="115">
        <f t="shared" si="2"/>
        <v>34079.15</v>
      </c>
      <c r="H15" s="120"/>
      <c r="I15" s="120"/>
      <c r="J15" s="117">
        <f t="shared" si="1"/>
        <v>1158691100</v>
      </c>
      <c r="K15" s="120"/>
      <c r="L15" s="117">
        <v>875000</v>
      </c>
      <c r="M15" s="117"/>
      <c r="N15" s="120"/>
      <c r="O15" s="116">
        <f t="shared" si="3"/>
        <v>1348836760.0511546</v>
      </c>
    </row>
    <row r="16" spans="2:15" x14ac:dyDescent="0.25">
      <c r="B16" s="112" t="s">
        <v>58</v>
      </c>
      <c r="D16" s="114">
        <v>72</v>
      </c>
      <c r="E16" s="118">
        <v>34000</v>
      </c>
      <c r="F16" s="114">
        <f t="shared" si="0"/>
        <v>7.15</v>
      </c>
      <c r="G16" s="115">
        <f t="shared" si="2"/>
        <v>34079.15</v>
      </c>
      <c r="H16" s="120"/>
      <c r="I16" s="120"/>
      <c r="J16" s="117">
        <f t="shared" si="1"/>
        <v>1158691100</v>
      </c>
      <c r="K16" s="120"/>
      <c r="L16" s="117">
        <v>875000</v>
      </c>
      <c r="M16" s="117"/>
      <c r="N16" s="120"/>
      <c r="O16" s="116">
        <f t="shared" si="3"/>
        <v>1348836760.0511546</v>
      </c>
    </row>
    <row r="17" spans="10:15" x14ac:dyDescent="0.25">
      <c r="J17" s="109">
        <f>SUM(J3:J16)</f>
        <v>16237822000</v>
      </c>
      <c r="L17" s="110">
        <f>SUM(L3:L16)</f>
        <v>19250000</v>
      </c>
      <c r="M17" s="110">
        <f>SUM(M3:M16)</f>
        <v>20000000</v>
      </c>
      <c r="O17" s="110">
        <f>+J17-L17-M17</f>
        <v>16198572000</v>
      </c>
    </row>
    <row r="18" spans="10:15" x14ac:dyDescent="0.25">
      <c r="L18" s="172">
        <f>SUM(L17:O17)</f>
        <v>16237822000</v>
      </c>
      <c r="M18" s="172"/>
      <c r="N18" s="172"/>
      <c r="O18" s="172"/>
    </row>
  </sheetData>
  <mergeCells count="1">
    <mergeCell ref="L18:O1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B593-F5B8-46B2-B86C-6FF56E97C301}">
  <sheetPr>
    <tabColor rgb="FF92D050"/>
  </sheetPr>
  <dimension ref="B2:L19"/>
  <sheetViews>
    <sheetView showGridLines="0" showZeros="0" zoomScale="115" zoomScaleNormal="115" workbookViewId="0">
      <selection activeCell="P7" sqref="P7"/>
    </sheetView>
  </sheetViews>
  <sheetFormatPr defaultRowHeight="15" x14ac:dyDescent="0.25"/>
  <cols>
    <col min="1" max="1" width="2.5703125" customWidth="1"/>
    <col min="2" max="2" width="10.42578125" style="1" customWidth="1"/>
    <col min="3" max="3" width="1.140625" customWidth="1"/>
    <col min="4" max="4" width="15.28515625" style="110" customWidth="1"/>
    <col min="5" max="5" width="1.140625" customWidth="1"/>
    <col min="6" max="7" width="16.140625" style="110" customWidth="1"/>
    <col min="8" max="8" width="1.140625" customWidth="1"/>
    <col min="9" max="9" width="13.28515625" style="110" customWidth="1"/>
    <col min="10" max="10" width="1.140625" customWidth="1"/>
    <col min="11" max="11" width="21.140625" style="110" customWidth="1"/>
    <col min="12" max="12" width="16.140625" style="110" customWidth="1"/>
  </cols>
  <sheetData>
    <row r="2" spans="2:12" ht="70.150000000000006" customHeight="1" x14ac:dyDescent="0.25">
      <c r="B2" s="111" t="s">
        <v>56</v>
      </c>
      <c r="C2" s="120"/>
      <c r="D2" s="113" t="s">
        <v>70</v>
      </c>
      <c r="E2" s="120"/>
      <c r="F2" s="121" t="s">
        <v>71</v>
      </c>
      <c r="G2" s="121" t="s">
        <v>72</v>
      </c>
      <c r="H2" s="120"/>
      <c r="I2" s="113" t="s">
        <v>64</v>
      </c>
      <c r="J2" s="120"/>
      <c r="K2" s="121" t="s">
        <v>71</v>
      </c>
      <c r="L2" s="121" t="s">
        <v>72</v>
      </c>
    </row>
    <row r="3" spans="2:12" ht="19.149999999999999" customHeight="1" x14ac:dyDescent="0.25">
      <c r="B3" s="111"/>
      <c r="C3" s="120"/>
      <c r="D3" s="113" t="s">
        <v>68</v>
      </c>
      <c r="E3" s="120"/>
      <c r="F3" s="122">
        <v>36000</v>
      </c>
      <c r="G3" s="122">
        <v>28000</v>
      </c>
      <c r="H3" s="120"/>
      <c r="I3" s="113"/>
      <c r="J3" s="120"/>
      <c r="K3" s="122">
        <v>36000</v>
      </c>
      <c r="L3" s="122">
        <v>28000</v>
      </c>
    </row>
    <row r="4" spans="2:12" x14ac:dyDescent="0.25">
      <c r="B4" s="112">
        <v>5</v>
      </c>
      <c r="C4" s="120"/>
      <c r="D4" s="114">
        <v>192</v>
      </c>
      <c r="E4" s="120"/>
      <c r="F4" s="123">
        <f t="shared" ref="F4:F17" si="0">+D4*$F$3</f>
        <v>6912000</v>
      </c>
      <c r="G4" s="123"/>
      <c r="H4" s="120"/>
      <c r="I4" s="123">
        <v>12000000</v>
      </c>
      <c r="J4" s="120"/>
      <c r="K4" s="123">
        <f t="shared" ref="K4:K17" si="1">+I4*$F$3</f>
        <v>432000000000</v>
      </c>
      <c r="L4" s="123"/>
    </row>
    <row r="5" spans="2:12" x14ac:dyDescent="0.25">
      <c r="B5" s="112">
        <v>5</v>
      </c>
      <c r="C5" s="120"/>
      <c r="D5" s="114">
        <f>96*2</f>
        <v>192</v>
      </c>
      <c r="E5" s="120"/>
      <c r="F5" s="123">
        <f t="shared" si="0"/>
        <v>6912000</v>
      </c>
      <c r="G5" s="123"/>
      <c r="H5" s="120"/>
      <c r="I5" s="123"/>
      <c r="J5" s="120"/>
      <c r="K5" s="123">
        <f t="shared" si="1"/>
        <v>0</v>
      </c>
      <c r="L5" s="123"/>
    </row>
    <row r="6" spans="2:12" x14ac:dyDescent="0.25">
      <c r="B6" s="112">
        <v>4</v>
      </c>
      <c r="C6" s="120"/>
      <c r="D6" s="114">
        <v>96</v>
      </c>
      <c r="E6" s="120"/>
      <c r="F6" s="123">
        <f t="shared" si="0"/>
        <v>3456000</v>
      </c>
      <c r="G6" s="123"/>
      <c r="H6" s="120"/>
      <c r="I6" s="123"/>
      <c r="J6" s="120"/>
      <c r="K6" s="123">
        <f t="shared" si="1"/>
        <v>0</v>
      </c>
      <c r="L6" s="123"/>
    </row>
    <row r="7" spans="2:12" x14ac:dyDescent="0.25">
      <c r="B7" s="112">
        <v>4</v>
      </c>
      <c r="C7" s="120"/>
      <c r="D7" s="114">
        <v>96</v>
      </c>
      <c r="E7" s="120"/>
      <c r="F7" s="123">
        <f t="shared" si="0"/>
        <v>3456000</v>
      </c>
      <c r="G7" s="123"/>
      <c r="H7" s="120"/>
      <c r="I7" s="123">
        <v>8000000</v>
      </c>
      <c r="J7" s="120"/>
      <c r="K7" s="123">
        <f t="shared" si="1"/>
        <v>288000000000</v>
      </c>
      <c r="L7" s="123"/>
    </row>
    <row r="8" spans="2:12" x14ac:dyDescent="0.25">
      <c r="B8" s="112">
        <v>3</v>
      </c>
      <c r="C8" s="120"/>
      <c r="D8" s="114">
        <v>96</v>
      </c>
      <c r="E8" s="120"/>
      <c r="F8" s="123">
        <f t="shared" si="0"/>
        <v>3456000</v>
      </c>
      <c r="G8" s="123"/>
      <c r="H8" s="120"/>
      <c r="I8" s="123"/>
      <c r="J8" s="120"/>
      <c r="K8" s="123">
        <f t="shared" si="1"/>
        <v>0</v>
      </c>
      <c r="L8" s="123"/>
    </row>
    <row r="9" spans="2:12" x14ac:dyDescent="0.25">
      <c r="B9" s="112">
        <v>3</v>
      </c>
      <c r="C9" s="120"/>
      <c r="D9" s="114">
        <v>96</v>
      </c>
      <c r="E9" s="120"/>
      <c r="F9" s="123">
        <f t="shared" si="0"/>
        <v>3456000</v>
      </c>
      <c r="G9" s="123"/>
      <c r="H9" s="120"/>
      <c r="I9" s="123"/>
      <c r="J9" s="120"/>
      <c r="K9" s="123">
        <f t="shared" si="1"/>
        <v>0</v>
      </c>
      <c r="L9" s="123"/>
    </row>
    <row r="10" spans="2:12" x14ac:dyDescent="0.25">
      <c r="B10" s="112">
        <v>2</v>
      </c>
      <c r="C10" s="120"/>
      <c r="D10" s="114">
        <v>96</v>
      </c>
      <c r="E10" s="120"/>
      <c r="F10" s="123">
        <f t="shared" si="0"/>
        <v>3456000</v>
      </c>
      <c r="G10" s="123"/>
      <c r="H10" s="120"/>
      <c r="I10" s="123"/>
      <c r="J10" s="120"/>
      <c r="K10" s="123">
        <f t="shared" si="1"/>
        <v>0</v>
      </c>
      <c r="L10" s="123"/>
    </row>
    <row r="11" spans="2:12" x14ac:dyDescent="0.25">
      <c r="B11" s="112">
        <v>2</v>
      </c>
      <c r="C11" s="120"/>
      <c r="D11" s="114">
        <v>96</v>
      </c>
      <c r="E11" s="120"/>
      <c r="F11" s="123">
        <f t="shared" si="0"/>
        <v>3456000</v>
      </c>
      <c r="G11" s="123"/>
      <c r="H11" s="120"/>
      <c r="I11" s="123"/>
      <c r="J11" s="120"/>
      <c r="K11" s="123">
        <f t="shared" si="1"/>
        <v>0</v>
      </c>
      <c r="L11" s="123"/>
    </row>
    <row r="12" spans="2:12" x14ac:dyDescent="0.25">
      <c r="B12" s="112">
        <v>1</v>
      </c>
      <c r="C12" s="120"/>
      <c r="D12" s="114">
        <v>96</v>
      </c>
      <c r="E12" s="120"/>
      <c r="F12" s="123">
        <f t="shared" si="0"/>
        <v>3456000</v>
      </c>
      <c r="G12" s="123"/>
      <c r="H12" s="120"/>
      <c r="I12" s="123"/>
      <c r="J12" s="120"/>
      <c r="K12" s="123">
        <f t="shared" si="1"/>
        <v>0</v>
      </c>
      <c r="L12" s="123"/>
    </row>
    <row r="13" spans="2:12" x14ac:dyDescent="0.25">
      <c r="B13" s="112">
        <v>1</v>
      </c>
      <c r="C13" s="120"/>
      <c r="D13" s="114">
        <v>96</v>
      </c>
      <c r="E13" s="120"/>
      <c r="F13" s="123">
        <f t="shared" si="0"/>
        <v>3456000</v>
      </c>
      <c r="G13" s="123"/>
      <c r="H13" s="120"/>
      <c r="I13" s="123"/>
      <c r="J13" s="120"/>
      <c r="K13" s="123">
        <f t="shared" si="1"/>
        <v>0</v>
      </c>
      <c r="L13" s="123"/>
    </row>
    <row r="14" spans="2:12" x14ac:dyDescent="0.25">
      <c r="B14" s="112" t="s">
        <v>57</v>
      </c>
      <c r="C14" s="120"/>
      <c r="D14" s="114">
        <v>72</v>
      </c>
      <c r="E14" s="120"/>
      <c r="F14" s="123">
        <f t="shared" si="0"/>
        <v>2592000</v>
      </c>
      <c r="G14" s="123"/>
      <c r="H14" s="120"/>
      <c r="I14" s="123"/>
      <c r="J14" s="120"/>
      <c r="K14" s="123">
        <f t="shared" si="1"/>
        <v>0</v>
      </c>
      <c r="L14" s="123"/>
    </row>
    <row r="15" spans="2:12" x14ac:dyDescent="0.25">
      <c r="B15" s="112" t="s">
        <v>57</v>
      </c>
      <c r="C15" s="120"/>
      <c r="D15" s="114">
        <v>72</v>
      </c>
      <c r="E15" s="120"/>
      <c r="F15" s="123">
        <f t="shared" si="0"/>
        <v>2592000</v>
      </c>
      <c r="G15" s="123"/>
      <c r="H15" s="120"/>
      <c r="I15" s="123"/>
      <c r="J15" s="120"/>
      <c r="K15" s="123">
        <f t="shared" si="1"/>
        <v>0</v>
      </c>
      <c r="L15" s="123"/>
    </row>
    <row r="16" spans="2:12" x14ac:dyDescent="0.25">
      <c r="B16" s="112" t="s">
        <v>58</v>
      </c>
      <c r="C16" s="120"/>
      <c r="D16" s="114">
        <v>72</v>
      </c>
      <c r="E16" s="120"/>
      <c r="F16" s="123">
        <f t="shared" si="0"/>
        <v>2592000</v>
      </c>
      <c r="G16" s="123"/>
      <c r="H16" s="120"/>
      <c r="I16" s="123"/>
      <c r="J16" s="120"/>
      <c r="K16" s="123">
        <f t="shared" si="1"/>
        <v>0</v>
      </c>
      <c r="L16" s="123"/>
    </row>
    <row r="17" spans="2:12" x14ac:dyDescent="0.25">
      <c r="B17" s="112" t="s">
        <v>58</v>
      </c>
      <c r="C17" s="120"/>
      <c r="D17" s="114">
        <v>72</v>
      </c>
      <c r="E17" s="120"/>
      <c r="F17" s="123">
        <f t="shared" si="0"/>
        <v>2592000</v>
      </c>
      <c r="G17" s="123"/>
      <c r="H17" s="120"/>
      <c r="I17" s="123"/>
      <c r="J17" s="120"/>
      <c r="K17" s="123">
        <f t="shared" si="1"/>
        <v>0</v>
      </c>
      <c r="L17" s="123"/>
    </row>
    <row r="18" spans="2:12" x14ac:dyDescent="0.25">
      <c r="B18" s="112" t="s">
        <v>69</v>
      </c>
      <c r="C18" s="120"/>
      <c r="D18" s="114">
        <v>143</v>
      </c>
      <c r="E18" s="120"/>
      <c r="F18" s="123"/>
      <c r="G18" s="123">
        <f>+D18*$G$3</f>
        <v>4004000</v>
      </c>
      <c r="H18" s="120"/>
      <c r="I18" s="123"/>
      <c r="J18" s="120"/>
      <c r="K18" s="123"/>
      <c r="L18" s="123">
        <f>+I18*$G$3</f>
        <v>0</v>
      </c>
    </row>
    <row r="19" spans="2:12" x14ac:dyDescent="0.25">
      <c r="C19" s="125"/>
      <c r="E19" s="125"/>
      <c r="F19" s="124">
        <f>SUM(F4:F18)</f>
        <v>51840000</v>
      </c>
      <c r="G19" s="124">
        <f>SUM(G4:G18)</f>
        <v>4004000</v>
      </c>
      <c r="H19" s="125"/>
      <c r="I19" s="124">
        <f>SUM(I4:I18)</f>
        <v>20000000</v>
      </c>
      <c r="J19" s="125"/>
      <c r="K19" s="124">
        <f>SUM(K4:K18)</f>
        <v>720000000000</v>
      </c>
      <c r="L19" s="124">
        <f>SUM(L4:L18)</f>
        <v>0</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D483F-C9DC-48F6-AFD2-E421D41E6088}">
  <sheetPr>
    <tabColor rgb="FF92D050"/>
  </sheetPr>
  <dimension ref="B2:L19"/>
  <sheetViews>
    <sheetView showGridLines="0" showZeros="0" zoomScale="115" zoomScaleNormal="115" workbookViewId="0">
      <selection activeCell="Q13" sqref="Q13"/>
    </sheetView>
  </sheetViews>
  <sheetFormatPr defaultRowHeight="15" x14ac:dyDescent="0.25"/>
  <cols>
    <col min="1" max="1" width="2.5703125" customWidth="1"/>
    <col min="2" max="2" width="10.42578125" style="1" customWidth="1"/>
    <col min="3" max="3" width="1.140625" customWidth="1"/>
    <col min="4" max="4" width="15.28515625" style="110" customWidth="1"/>
    <col min="5" max="5" width="1.140625" customWidth="1"/>
    <col min="6" max="6" width="16.140625" style="110" customWidth="1"/>
    <col min="7" max="7" width="1.140625" customWidth="1"/>
    <col min="8" max="8" width="13.28515625" style="110" customWidth="1"/>
    <col min="9" max="9" width="1.140625" customWidth="1"/>
    <col min="10" max="10" width="18.28515625" style="110" customWidth="1"/>
    <col min="11" max="11" width="1.140625" customWidth="1"/>
    <col min="12" max="12" width="16.140625" style="110" customWidth="1"/>
  </cols>
  <sheetData>
    <row r="2" spans="2:12" ht="70.150000000000006" customHeight="1" x14ac:dyDescent="0.25">
      <c r="B2" s="111" t="s">
        <v>56</v>
      </c>
      <c r="C2" s="120"/>
      <c r="D2" s="113" t="s">
        <v>73</v>
      </c>
      <c r="E2" s="120"/>
      <c r="F2" s="121" t="s">
        <v>71</v>
      </c>
      <c r="G2" s="120"/>
      <c r="H2" s="113" t="s">
        <v>64</v>
      </c>
      <c r="I2" s="120"/>
      <c r="J2" s="121" t="s">
        <v>74</v>
      </c>
      <c r="K2" s="120"/>
      <c r="L2" s="121" t="s">
        <v>72</v>
      </c>
    </row>
    <row r="3" spans="2:12" ht="19.149999999999999" customHeight="1" x14ac:dyDescent="0.25">
      <c r="B3" s="111"/>
      <c r="C3" s="120"/>
      <c r="D3" s="113" t="s">
        <v>68</v>
      </c>
      <c r="E3" s="120"/>
      <c r="F3" s="122">
        <v>36000</v>
      </c>
      <c r="G3" s="120"/>
      <c r="H3" s="113"/>
      <c r="I3" s="120"/>
      <c r="J3" s="122">
        <f>+J19/SUM(D5:D6,D8:D17)</f>
        <v>27638.888888888891</v>
      </c>
      <c r="K3" s="120"/>
      <c r="L3" s="122">
        <v>28000</v>
      </c>
    </row>
    <row r="4" spans="2:12" x14ac:dyDescent="0.25">
      <c r="B4" s="112">
        <v>5</v>
      </c>
      <c r="C4" s="120"/>
      <c r="D4" s="114">
        <v>192</v>
      </c>
      <c r="E4" s="120"/>
      <c r="F4" s="117">
        <f>+D4*$F$3</f>
        <v>6912000</v>
      </c>
      <c r="G4" s="120"/>
      <c r="H4" s="123">
        <v>12000000</v>
      </c>
      <c r="I4" s="120"/>
      <c r="J4" s="123"/>
      <c r="K4" s="120"/>
      <c r="L4" s="123"/>
    </row>
    <row r="5" spans="2:12" x14ac:dyDescent="0.25">
      <c r="B5" s="112">
        <v>5</v>
      </c>
      <c r="C5" s="120"/>
      <c r="D5" s="114">
        <f>96*2</f>
        <v>192</v>
      </c>
      <c r="E5" s="120"/>
      <c r="F5" s="117">
        <f t="shared" ref="F5:F17" si="0">+D5*$F$3</f>
        <v>6912000</v>
      </c>
      <c r="G5" s="120"/>
      <c r="H5" s="123"/>
      <c r="I5" s="120"/>
      <c r="J5" s="123">
        <f>+$J$19*(D5/SUM($D$5:$D$6,$D$8:$D$17))</f>
        <v>5306666.666666666</v>
      </c>
      <c r="K5" s="120"/>
      <c r="L5" s="123"/>
    </row>
    <row r="6" spans="2:12" x14ac:dyDescent="0.25">
      <c r="B6" s="112">
        <v>4</v>
      </c>
      <c r="C6" s="120"/>
      <c r="D6" s="114">
        <v>96</v>
      </c>
      <c r="E6" s="120"/>
      <c r="F6" s="117">
        <f t="shared" si="0"/>
        <v>3456000</v>
      </c>
      <c r="G6" s="120"/>
      <c r="H6" s="123"/>
      <c r="I6" s="120"/>
      <c r="J6" s="123">
        <f>+$J$19*(D6/SUM($D$5:$D$6,$D$8:$D$17))</f>
        <v>2653333.333333333</v>
      </c>
      <c r="K6" s="120"/>
      <c r="L6" s="123"/>
    </row>
    <row r="7" spans="2:12" x14ac:dyDescent="0.25">
      <c r="B7" s="112">
        <v>4</v>
      </c>
      <c r="C7" s="120"/>
      <c r="D7" s="114">
        <v>96</v>
      </c>
      <c r="E7" s="120"/>
      <c r="F7" s="117">
        <f t="shared" si="0"/>
        <v>3456000</v>
      </c>
      <c r="G7" s="120"/>
      <c r="H7" s="123">
        <v>8000000</v>
      </c>
      <c r="I7" s="120"/>
      <c r="J7" s="123"/>
      <c r="K7" s="120"/>
      <c r="L7" s="123"/>
    </row>
    <row r="8" spans="2:12" x14ac:dyDescent="0.25">
      <c r="B8" s="112">
        <v>3</v>
      </c>
      <c r="C8" s="120"/>
      <c r="D8" s="114">
        <v>96</v>
      </c>
      <c r="E8" s="120"/>
      <c r="F8" s="117">
        <f t="shared" si="0"/>
        <v>3456000</v>
      </c>
      <c r="G8" s="120"/>
      <c r="H8" s="123"/>
      <c r="I8" s="120"/>
      <c r="J8" s="123">
        <f t="shared" ref="J8:J17" si="1">+$J$19*(D8/SUM($D$5:$D$6,$D$8:$D$17))</f>
        <v>2653333.333333333</v>
      </c>
      <c r="K8" s="120"/>
      <c r="L8" s="123"/>
    </row>
    <row r="9" spans="2:12" x14ac:dyDescent="0.25">
      <c r="B9" s="112">
        <v>3</v>
      </c>
      <c r="C9" s="120"/>
      <c r="D9" s="114">
        <v>96</v>
      </c>
      <c r="E9" s="120"/>
      <c r="F9" s="117">
        <f t="shared" si="0"/>
        <v>3456000</v>
      </c>
      <c r="G9" s="120"/>
      <c r="H9" s="123"/>
      <c r="I9" s="120"/>
      <c r="J9" s="123">
        <f t="shared" si="1"/>
        <v>2653333.333333333</v>
      </c>
      <c r="K9" s="120"/>
      <c r="L9" s="123"/>
    </row>
    <row r="10" spans="2:12" x14ac:dyDescent="0.25">
      <c r="B10" s="112">
        <v>2</v>
      </c>
      <c r="C10" s="120"/>
      <c r="D10" s="114">
        <v>96</v>
      </c>
      <c r="E10" s="120"/>
      <c r="F10" s="117">
        <f t="shared" si="0"/>
        <v>3456000</v>
      </c>
      <c r="G10" s="120"/>
      <c r="H10" s="123"/>
      <c r="I10" s="120"/>
      <c r="J10" s="123">
        <f t="shared" si="1"/>
        <v>2653333.333333333</v>
      </c>
      <c r="K10" s="120"/>
      <c r="L10" s="123"/>
    </row>
    <row r="11" spans="2:12" x14ac:dyDescent="0.25">
      <c r="B11" s="112">
        <v>2</v>
      </c>
      <c r="C11" s="120"/>
      <c r="D11" s="114">
        <v>96</v>
      </c>
      <c r="E11" s="120"/>
      <c r="F11" s="117">
        <f t="shared" si="0"/>
        <v>3456000</v>
      </c>
      <c r="G11" s="120"/>
      <c r="H11" s="123"/>
      <c r="I11" s="120"/>
      <c r="J11" s="123">
        <f t="shared" si="1"/>
        <v>2653333.333333333</v>
      </c>
      <c r="K11" s="120"/>
      <c r="L11" s="123"/>
    </row>
    <row r="12" spans="2:12" x14ac:dyDescent="0.25">
      <c r="B12" s="112">
        <v>1</v>
      </c>
      <c r="C12" s="120"/>
      <c r="D12" s="114">
        <v>96</v>
      </c>
      <c r="E12" s="120"/>
      <c r="F12" s="117">
        <f t="shared" si="0"/>
        <v>3456000</v>
      </c>
      <c r="G12" s="120"/>
      <c r="H12" s="123"/>
      <c r="I12" s="120"/>
      <c r="J12" s="123">
        <f t="shared" si="1"/>
        <v>2653333.333333333</v>
      </c>
      <c r="K12" s="120"/>
      <c r="L12" s="123"/>
    </row>
    <row r="13" spans="2:12" x14ac:dyDescent="0.25">
      <c r="B13" s="112">
        <v>1</v>
      </c>
      <c r="C13" s="120"/>
      <c r="D13" s="114">
        <v>96</v>
      </c>
      <c r="E13" s="120"/>
      <c r="F13" s="117">
        <f t="shared" si="0"/>
        <v>3456000</v>
      </c>
      <c r="G13" s="120"/>
      <c r="H13" s="123"/>
      <c r="I13" s="120"/>
      <c r="J13" s="123">
        <f t="shared" si="1"/>
        <v>2653333.333333333</v>
      </c>
      <c r="K13" s="120"/>
      <c r="L13" s="123"/>
    </row>
    <row r="14" spans="2:12" x14ac:dyDescent="0.25">
      <c r="B14" s="112" t="s">
        <v>57</v>
      </c>
      <c r="C14" s="120"/>
      <c r="D14" s="114">
        <v>72</v>
      </c>
      <c r="E14" s="120"/>
      <c r="F14" s="117">
        <f t="shared" si="0"/>
        <v>2592000</v>
      </c>
      <c r="G14" s="120"/>
      <c r="H14" s="123"/>
      <c r="I14" s="120"/>
      <c r="J14" s="123">
        <f t="shared" si="1"/>
        <v>1990000</v>
      </c>
      <c r="K14" s="120"/>
      <c r="L14" s="123"/>
    </row>
    <row r="15" spans="2:12" x14ac:dyDescent="0.25">
      <c r="B15" s="112" t="s">
        <v>57</v>
      </c>
      <c r="C15" s="120"/>
      <c r="D15" s="114">
        <v>72</v>
      </c>
      <c r="E15" s="120"/>
      <c r="F15" s="117">
        <f t="shared" si="0"/>
        <v>2592000</v>
      </c>
      <c r="G15" s="120"/>
      <c r="H15" s="123"/>
      <c r="I15" s="120"/>
      <c r="J15" s="123">
        <f t="shared" si="1"/>
        <v>1990000</v>
      </c>
      <c r="K15" s="120"/>
      <c r="L15" s="123"/>
    </row>
    <row r="16" spans="2:12" x14ac:dyDescent="0.25">
      <c r="B16" s="112" t="s">
        <v>58</v>
      </c>
      <c r="C16" s="120"/>
      <c r="D16" s="114">
        <v>72</v>
      </c>
      <c r="E16" s="120"/>
      <c r="F16" s="117">
        <f t="shared" si="0"/>
        <v>2592000</v>
      </c>
      <c r="G16" s="120"/>
      <c r="H16" s="123"/>
      <c r="I16" s="120"/>
      <c r="J16" s="123">
        <f t="shared" si="1"/>
        <v>1990000</v>
      </c>
      <c r="K16" s="120"/>
      <c r="L16" s="123"/>
    </row>
    <row r="17" spans="2:12" x14ac:dyDescent="0.25">
      <c r="B17" s="112" t="s">
        <v>58</v>
      </c>
      <c r="C17" s="120"/>
      <c r="D17" s="114">
        <v>72</v>
      </c>
      <c r="E17" s="120"/>
      <c r="F17" s="117">
        <f t="shared" si="0"/>
        <v>2592000</v>
      </c>
      <c r="G17" s="120"/>
      <c r="H17" s="123"/>
      <c r="I17" s="120"/>
      <c r="J17" s="123">
        <f t="shared" si="1"/>
        <v>1990000</v>
      </c>
      <c r="K17" s="120"/>
      <c r="L17" s="123"/>
    </row>
    <row r="18" spans="2:12" x14ac:dyDescent="0.25">
      <c r="B18" s="112" t="s">
        <v>69</v>
      </c>
      <c r="C18" s="120"/>
      <c r="D18" s="114"/>
      <c r="E18" s="120"/>
      <c r="F18" s="117"/>
      <c r="G18" s="120"/>
      <c r="H18" s="123"/>
      <c r="I18" s="120"/>
      <c r="J18" s="123"/>
      <c r="K18" s="120"/>
      <c r="L18" s="123"/>
    </row>
    <row r="19" spans="2:12" x14ac:dyDescent="0.25">
      <c r="C19" s="125"/>
      <c r="E19" s="125"/>
      <c r="F19" s="126">
        <f>SUM(F4:F18)</f>
        <v>51840000</v>
      </c>
      <c r="G19" s="125"/>
      <c r="H19" s="124">
        <f>SUM(H4:H18)</f>
        <v>20000000</v>
      </c>
      <c r="I19" s="125"/>
      <c r="J19" s="124">
        <f>+F19-H19</f>
        <v>31840000</v>
      </c>
      <c r="K19" s="125"/>
      <c r="L19" s="124">
        <f>SUM(L4:L18)</f>
        <v>0</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6BC05-9FCA-41E6-AC53-0BB165F23F90}">
  <sheetPr>
    <tabColor theme="8" tint="-0.499984740745262"/>
  </sheetPr>
  <dimension ref="B1:X37"/>
  <sheetViews>
    <sheetView showGridLines="0" showZeros="0" tabSelected="1" zoomScale="115" zoomScaleNormal="115" workbookViewId="0">
      <selection activeCell="X13" sqref="X13"/>
    </sheetView>
  </sheetViews>
  <sheetFormatPr defaultRowHeight="15" x14ac:dyDescent="0.25"/>
  <cols>
    <col min="1" max="1" width="9.42578125" customWidth="1"/>
    <col min="2" max="2" width="9.85546875" style="1" customWidth="1"/>
    <col min="3" max="3" width="1.140625" customWidth="1"/>
    <col min="4" max="4" width="9.28515625" style="110" customWidth="1"/>
    <col min="5" max="5" width="8.140625" style="110" customWidth="1"/>
    <col min="6" max="6" width="13.28515625" style="110" customWidth="1"/>
    <col min="7" max="7" width="1.140625" customWidth="1"/>
    <col min="8" max="8" width="10" style="110" customWidth="1"/>
    <col min="9" max="9" width="8.7109375" style="110" customWidth="1"/>
    <col min="10" max="10" width="13.5703125" style="110" customWidth="1"/>
    <col min="11" max="11" width="1.140625" customWidth="1"/>
    <col min="12" max="13" width="8.7109375" style="110" customWidth="1"/>
    <col min="14" max="14" width="12.28515625" style="110" bestFit="1" customWidth="1"/>
    <col min="15" max="15" width="1.140625" customWidth="1"/>
    <col min="16" max="16" width="13.42578125" style="110" bestFit="1" customWidth="1"/>
    <col min="17" max="17" width="1.140625" customWidth="1"/>
    <col min="18" max="18" width="14" style="110" customWidth="1"/>
    <col min="19" max="19" width="14.28515625" style="110" customWidth="1"/>
    <col min="20" max="20" width="19.140625" bestFit="1" customWidth="1"/>
    <col min="21" max="21" width="10" style="110" customWidth="1"/>
    <col min="22" max="22" width="8.7109375" style="110" customWidth="1"/>
    <col min="23" max="23" width="13.5703125" style="110" customWidth="1"/>
    <col min="24" max="24" width="14.42578125" customWidth="1"/>
  </cols>
  <sheetData>
    <row r="1" spans="2:24" ht="37.9" customHeight="1" x14ac:dyDescent="0.25"/>
    <row r="2" spans="2:24" s="106" customFormat="1" ht="25.9" customHeight="1" x14ac:dyDescent="0.25">
      <c r="B2" s="217" t="s">
        <v>92</v>
      </c>
      <c r="C2" s="217"/>
      <c r="D2" s="217"/>
      <c r="E2" s="217"/>
      <c r="F2" s="217"/>
      <c r="G2" s="217"/>
      <c r="H2" s="217"/>
      <c r="I2" s="217"/>
      <c r="J2" s="217"/>
      <c r="K2" s="217"/>
      <c r="L2" s="217"/>
      <c r="M2" s="217"/>
      <c r="N2" s="217"/>
      <c r="O2" s="217"/>
      <c r="P2" s="217"/>
      <c r="Q2" s="217"/>
      <c r="R2" s="217"/>
      <c r="S2" s="217"/>
      <c r="U2"/>
      <c r="V2"/>
      <c r="W2"/>
      <c r="X2"/>
    </row>
    <row r="3" spans="2:24" ht="76.150000000000006" customHeight="1" x14ac:dyDescent="0.25">
      <c r="B3" s="134" t="s">
        <v>56</v>
      </c>
      <c r="C3" s="131"/>
      <c r="D3" s="218" t="s">
        <v>90</v>
      </c>
      <c r="E3" s="219"/>
      <c r="F3" s="220"/>
      <c r="G3" s="132"/>
      <c r="H3" s="218" t="s">
        <v>77</v>
      </c>
      <c r="I3" s="219"/>
      <c r="J3" s="220"/>
      <c r="K3" s="132"/>
      <c r="L3" s="218" t="s">
        <v>91</v>
      </c>
      <c r="M3" s="219"/>
      <c r="N3" s="220"/>
      <c r="O3" s="132"/>
      <c r="P3" s="133" t="s">
        <v>75</v>
      </c>
      <c r="Q3" s="132"/>
      <c r="R3" s="133" t="s">
        <v>78</v>
      </c>
      <c r="S3" s="133" t="s">
        <v>76</v>
      </c>
      <c r="U3"/>
      <c r="V3"/>
      <c r="W3"/>
    </row>
    <row r="4" spans="2:24" x14ac:dyDescent="0.25">
      <c r="B4" s="112" t="s">
        <v>79</v>
      </c>
      <c r="C4" s="120"/>
      <c r="D4" s="114">
        <v>80</v>
      </c>
      <c r="E4" s="127">
        <v>43000</v>
      </c>
      <c r="F4" s="123">
        <f>+D4*E4</f>
        <v>3440000</v>
      </c>
      <c r="G4" s="120"/>
      <c r="H4" s="114">
        <v>80</v>
      </c>
      <c r="I4" s="127"/>
      <c r="J4" s="123">
        <v>7000000</v>
      </c>
      <c r="K4" s="120"/>
      <c r="L4" s="114"/>
      <c r="M4" s="127"/>
      <c r="N4" s="123"/>
      <c r="O4" s="120"/>
      <c r="P4" s="123"/>
      <c r="Q4" s="120"/>
      <c r="R4" s="123"/>
      <c r="S4" s="123"/>
      <c r="U4"/>
      <c r="V4"/>
      <c r="W4"/>
    </row>
    <row r="5" spans="2:24" x14ac:dyDescent="0.25">
      <c r="B5" s="112" t="s">
        <v>79</v>
      </c>
      <c r="C5" s="120"/>
      <c r="D5" s="114">
        <v>80</v>
      </c>
      <c r="E5" s="127">
        <v>43000</v>
      </c>
      <c r="F5" s="123">
        <f t="shared" ref="F5:F17" si="0">+D5*E5</f>
        <v>3440000</v>
      </c>
      <c r="G5" s="120"/>
      <c r="H5" s="114">
        <v>80</v>
      </c>
      <c r="I5" s="127"/>
      <c r="J5" s="123">
        <v>7000000</v>
      </c>
      <c r="K5" s="120"/>
      <c r="L5" s="114"/>
      <c r="M5" s="127"/>
      <c r="N5" s="123"/>
      <c r="O5" s="120"/>
      <c r="P5" s="123"/>
      <c r="Q5" s="120"/>
      <c r="R5" s="123"/>
      <c r="S5" s="123">
        <f>+P5-R5</f>
        <v>0</v>
      </c>
      <c r="U5"/>
      <c r="V5"/>
      <c r="W5"/>
    </row>
    <row r="6" spans="2:24" x14ac:dyDescent="0.25">
      <c r="B6" s="227">
        <v>4</v>
      </c>
      <c r="C6" s="120"/>
      <c r="D6" s="228">
        <v>80</v>
      </c>
      <c r="E6" s="229">
        <v>43000</v>
      </c>
      <c r="F6" s="230">
        <f t="shared" si="0"/>
        <v>3440000</v>
      </c>
      <c r="G6" s="120"/>
      <c r="H6" s="228">
        <v>80</v>
      </c>
      <c r="I6" s="229">
        <f>+J6/H6</f>
        <v>34236.923076923078</v>
      </c>
      <c r="J6" s="230">
        <f>+($J$18-$J$4-$J$5)/SUM($H$6:$H$16)*H6</f>
        <v>2738953.846153846</v>
      </c>
      <c r="K6" s="120"/>
      <c r="L6" s="231">
        <f>+H6/SUM($H$6:$H$16)*$D$17</f>
        <v>5.6615384615384619</v>
      </c>
      <c r="M6" s="229">
        <v>30000</v>
      </c>
      <c r="N6" s="230">
        <f>L6*M6</f>
        <v>169846.15384615384</v>
      </c>
      <c r="O6" s="120"/>
      <c r="P6" s="230">
        <f>+J6+N6</f>
        <v>2908800</v>
      </c>
      <c r="Q6" s="120"/>
      <c r="R6" s="230">
        <v>1750000</v>
      </c>
      <c r="S6" s="230">
        <f t="shared" ref="S6:S16" si="1">+P6-R6</f>
        <v>1158800</v>
      </c>
      <c r="U6"/>
      <c r="V6"/>
      <c r="W6"/>
    </row>
    <row r="7" spans="2:24" x14ac:dyDescent="0.25">
      <c r="B7" s="112">
        <v>4</v>
      </c>
      <c r="C7" s="120"/>
      <c r="D7" s="114">
        <v>80</v>
      </c>
      <c r="E7" s="127">
        <v>43000</v>
      </c>
      <c r="F7" s="123">
        <f t="shared" si="0"/>
        <v>3440000</v>
      </c>
      <c r="G7" s="120"/>
      <c r="H7" s="114">
        <v>80</v>
      </c>
      <c r="I7" s="127">
        <f>+J7/H7</f>
        <v>34236.923076923078</v>
      </c>
      <c r="J7" s="130">
        <f>+($J$18-$J$4-$J$5)/SUM($H$6:$H$16)*H7</f>
        <v>2738953.846153846</v>
      </c>
      <c r="K7" s="120"/>
      <c r="L7" s="221">
        <f t="shared" ref="L7:L16" si="2">+H7/SUM($H$6:$H$16)*$D$17</f>
        <v>5.6615384615384619</v>
      </c>
      <c r="M7" s="127">
        <v>30000</v>
      </c>
      <c r="N7" s="130">
        <f t="shared" ref="N7:N16" si="3">L7*M7</f>
        <v>169846.15384615384</v>
      </c>
      <c r="O7" s="120"/>
      <c r="P7" s="130">
        <f>+J7+N7</f>
        <v>2908800</v>
      </c>
      <c r="Q7" s="120"/>
      <c r="R7" s="123">
        <v>1750000</v>
      </c>
      <c r="S7" s="123">
        <f t="shared" si="1"/>
        <v>1158800</v>
      </c>
      <c r="U7"/>
      <c r="V7"/>
      <c r="W7"/>
    </row>
    <row r="8" spans="2:24" x14ac:dyDescent="0.25">
      <c r="B8" s="227">
        <v>3</v>
      </c>
      <c r="C8" s="120"/>
      <c r="D8" s="228">
        <v>80</v>
      </c>
      <c r="E8" s="229">
        <v>43000</v>
      </c>
      <c r="F8" s="230">
        <f t="shared" si="0"/>
        <v>3440000</v>
      </c>
      <c r="G8" s="120"/>
      <c r="H8" s="228">
        <v>80</v>
      </c>
      <c r="I8" s="229">
        <f t="shared" ref="I8:I16" si="4">+J8/H8</f>
        <v>34236.923076923078</v>
      </c>
      <c r="J8" s="230">
        <f>+($J$18-$J$4-$J$5)/SUM($H$6:$H$16)*H8</f>
        <v>2738953.846153846</v>
      </c>
      <c r="K8" s="120"/>
      <c r="L8" s="231">
        <f t="shared" si="2"/>
        <v>5.6615384615384619</v>
      </c>
      <c r="M8" s="229">
        <v>30000</v>
      </c>
      <c r="N8" s="230">
        <f t="shared" si="3"/>
        <v>169846.15384615384</v>
      </c>
      <c r="O8" s="120"/>
      <c r="P8" s="230">
        <f t="shared" ref="P8:P16" si="5">+J8+N8</f>
        <v>2908800</v>
      </c>
      <c r="Q8" s="120"/>
      <c r="R8" s="230">
        <v>1750000</v>
      </c>
      <c r="S8" s="230">
        <f t="shared" si="1"/>
        <v>1158800</v>
      </c>
      <c r="U8"/>
      <c r="V8"/>
      <c r="W8"/>
    </row>
    <row r="9" spans="2:24" x14ac:dyDescent="0.25">
      <c r="B9" s="112">
        <v>3</v>
      </c>
      <c r="C9" s="120"/>
      <c r="D9" s="114">
        <v>80</v>
      </c>
      <c r="E9" s="127">
        <v>43000</v>
      </c>
      <c r="F9" s="123">
        <f t="shared" si="0"/>
        <v>3440000</v>
      </c>
      <c r="G9" s="120"/>
      <c r="H9" s="114">
        <v>80</v>
      </c>
      <c r="I9" s="127">
        <f t="shared" si="4"/>
        <v>34236.923076923078</v>
      </c>
      <c r="J9" s="130">
        <f>+($J$18-$J$4-$J$5)/SUM($H$6:$H$16)*H9</f>
        <v>2738953.846153846</v>
      </c>
      <c r="K9" s="120"/>
      <c r="L9" s="221">
        <f t="shared" si="2"/>
        <v>5.6615384615384619</v>
      </c>
      <c r="M9" s="127">
        <v>30000</v>
      </c>
      <c r="N9" s="130">
        <f t="shared" si="3"/>
        <v>169846.15384615384</v>
      </c>
      <c r="O9" s="120"/>
      <c r="P9" s="130">
        <f t="shared" si="5"/>
        <v>2908800</v>
      </c>
      <c r="Q9" s="120"/>
      <c r="R9" s="123">
        <v>1750000</v>
      </c>
      <c r="S9" s="123">
        <f t="shared" si="1"/>
        <v>1158800</v>
      </c>
      <c r="U9"/>
      <c r="V9"/>
      <c r="W9"/>
    </row>
    <row r="10" spans="2:24" x14ac:dyDescent="0.25">
      <c r="B10" s="227">
        <v>2</v>
      </c>
      <c r="C10" s="120"/>
      <c r="D10" s="228">
        <v>80</v>
      </c>
      <c r="E10" s="229">
        <v>43000</v>
      </c>
      <c r="F10" s="230">
        <f t="shared" si="0"/>
        <v>3440000</v>
      </c>
      <c r="G10" s="120"/>
      <c r="H10" s="228">
        <v>80</v>
      </c>
      <c r="I10" s="229">
        <f t="shared" si="4"/>
        <v>34236.923076923078</v>
      </c>
      <c r="J10" s="230">
        <f>+($J$18-$J$4-$J$5)/SUM($H$6:$H$16)*H10</f>
        <v>2738953.846153846</v>
      </c>
      <c r="K10" s="120"/>
      <c r="L10" s="231">
        <f t="shared" si="2"/>
        <v>5.6615384615384619</v>
      </c>
      <c r="M10" s="229">
        <v>30000</v>
      </c>
      <c r="N10" s="230">
        <f t="shared" si="3"/>
        <v>169846.15384615384</v>
      </c>
      <c r="O10" s="120"/>
      <c r="P10" s="230">
        <f t="shared" si="5"/>
        <v>2908800</v>
      </c>
      <c r="Q10" s="120"/>
      <c r="R10" s="230">
        <v>1750000</v>
      </c>
      <c r="S10" s="230">
        <f t="shared" si="1"/>
        <v>1158800</v>
      </c>
      <c r="U10"/>
      <c r="V10"/>
      <c r="W10"/>
    </row>
    <row r="11" spans="2:24" x14ac:dyDescent="0.25">
      <c r="B11" s="112">
        <v>2</v>
      </c>
      <c r="C11" s="120"/>
      <c r="D11" s="114">
        <v>80</v>
      </c>
      <c r="E11" s="127">
        <v>43000</v>
      </c>
      <c r="F11" s="123">
        <f t="shared" si="0"/>
        <v>3440000</v>
      </c>
      <c r="G11" s="120"/>
      <c r="H11" s="114">
        <v>80</v>
      </c>
      <c r="I11" s="127">
        <f t="shared" si="4"/>
        <v>34236.923076923078</v>
      </c>
      <c r="J11" s="130">
        <f>+($J$18-$J$4-$J$5)/SUM($H$6:$H$16)*H11</f>
        <v>2738953.846153846</v>
      </c>
      <c r="K11" s="120"/>
      <c r="L11" s="221">
        <f t="shared" si="2"/>
        <v>5.6615384615384619</v>
      </c>
      <c r="M11" s="127">
        <v>30000</v>
      </c>
      <c r="N11" s="130">
        <f t="shared" si="3"/>
        <v>169846.15384615384</v>
      </c>
      <c r="O11" s="120"/>
      <c r="P11" s="130">
        <f t="shared" si="5"/>
        <v>2908800</v>
      </c>
      <c r="Q11" s="120"/>
      <c r="R11" s="123">
        <v>1750000</v>
      </c>
      <c r="S11" s="123">
        <f t="shared" si="1"/>
        <v>1158800</v>
      </c>
      <c r="U11"/>
      <c r="V11"/>
      <c r="W11"/>
    </row>
    <row r="12" spans="2:24" x14ac:dyDescent="0.25">
      <c r="B12" s="227">
        <v>1</v>
      </c>
      <c r="C12" s="120"/>
      <c r="D12" s="228">
        <v>80</v>
      </c>
      <c r="E12" s="229">
        <v>43000</v>
      </c>
      <c r="F12" s="230">
        <f t="shared" si="0"/>
        <v>3440000</v>
      </c>
      <c r="G12" s="120"/>
      <c r="H12" s="228">
        <v>80</v>
      </c>
      <c r="I12" s="229">
        <f t="shared" si="4"/>
        <v>34236.923076923078</v>
      </c>
      <c r="J12" s="230">
        <f>+($J$18-$J$4-$J$5)/SUM($H$6:$H$16)*H12</f>
        <v>2738953.846153846</v>
      </c>
      <c r="K12" s="120"/>
      <c r="L12" s="231">
        <f t="shared" si="2"/>
        <v>5.6615384615384619</v>
      </c>
      <c r="M12" s="229">
        <v>30000</v>
      </c>
      <c r="N12" s="230">
        <f t="shared" si="3"/>
        <v>169846.15384615384</v>
      </c>
      <c r="O12" s="120"/>
      <c r="P12" s="230">
        <f t="shared" si="5"/>
        <v>2908800</v>
      </c>
      <c r="Q12" s="120"/>
      <c r="R12" s="230">
        <v>1750000</v>
      </c>
      <c r="S12" s="230">
        <f t="shared" si="1"/>
        <v>1158800</v>
      </c>
      <c r="U12"/>
      <c r="V12"/>
      <c r="W12"/>
    </row>
    <row r="13" spans="2:24" x14ac:dyDescent="0.25">
      <c r="B13" s="112">
        <v>1</v>
      </c>
      <c r="C13" s="120"/>
      <c r="D13" s="114">
        <v>80</v>
      </c>
      <c r="E13" s="127">
        <v>43000</v>
      </c>
      <c r="F13" s="123">
        <f t="shared" si="0"/>
        <v>3440000</v>
      </c>
      <c r="G13" s="120"/>
      <c r="H13" s="114">
        <v>80</v>
      </c>
      <c r="I13" s="127">
        <f t="shared" si="4"/>
        <v>34236.923076923078</v>
      </c>
      <c r="J13" s="130">
        <f>+($J$18-$J$4-$J$5)/SUM($H$6:$H$16)*H13</f>
        <v>2738953.846153846</v>
      </c>
      <c r="K13" s="120"/>
      <c r="L13" s="221">
        <f t="shared" si="2"/>
        <v>5.6615384615384619</v>
      </c>
      <c r="M13" s="127">
        <v>30000</v>
      </c>
      <c r="N13" s="130">
        <f t="shared" si="3"/>
        <v>169846.15384615384</v>
      </c>
      <c r="O13" s="120"/>
      <c r="P13" s="130">
        <f t="shared" si="5"/>
        <v>2908800</v>
      </c>
      <c r="Q13" s="120"/>
      <c r="R13" s="123">
        <v>1750000</v>
      </c>
      <c r="S13" s="123">
        <f t="shared" si="1"/>
        <v>1158800</v>
      </c>
      <c r="U13"/>
      <c r="V13"/>
      <c r="W13"/>
    </row>
    <row r="14" spans="2:24" x14ac:dyDescent="0.25">
      <c r="B14" s="227" t="s">
        <v>81</v>
      </c>
      <c r="C14" s="120"/>
      <c r="D14" s="228">
        <f>115-D15</f>
        <v>90</v>
      </c>
      <c r="E14" s="229">
        <v>43000</v>
      </c>
      <c r="F14" s="230">
        <f t="shared" si="0"/>
        <v>3870000</v>
      </c>
      <c r="G14" s="120"/>
      <c r="H14" s="228">
        <v>90</v>
      </c>
      <c r="I14" s="229">
        <f t="shared" si="4"/>
        <v>34236.923076923078</v>
      </c>
      <c r="J14" s="230">
        <f>+($J$18-$J$4-$J$5)/SUM($H$6:$H$16)*H14</f>
        <v>3081323.076923077</v>
      </c>
      <c r="K14" s="120"/>
      <c r="L14" s="231">
        <f t="shared" si="2"/>
        <v>6.3692307692307697</v>
      </c>
      <c r="M14" s="229">
        <v>30000</v>
      </c>
      <c r="N14" s="230">
        <f t="shared" si="3"/>
        <v>191076.92307692309</v>
      </c>
      <c r="O14" s="120"/>
      <c r="P14" s="230">
        <f t="shared" si="5"/>
        <v>3272400</v>
      </c>
      <c r="Q14" s="120"/>
      <c r="R14" s="230">
        <v>1750000</v>
      </c>
      <c r="S14" s="230">
        <f t="shared" si="1"/>
        <v>1522400</v>
      </c>
      <c r="U14"/>
      <c r="V14"/>
      <c r="W14"/>
    </row>
    <row r="15" spans="2:24" x14ac:dyDescent="0.25">
      <c r="B15" s="112" t="s">
        <v>83</v>
      </c>
      <c r="C15" s="120"/>
      <c r="D15" s="114">
        <v>25</v>
      </c>
      <c r="E15" s="127">
        <v>43000</v>
      </c>
      <c r="F15" s="123">
        <f>+D15*E15</f>
        <v>1075000</v>
      </c>
      <c r="G15" s="120"/>
      <c r="H15" s="114">
        <v>25</v>
      </c>
      <c r="I15" s="127">
        <f>+J15/H15</f>
        <v>34236.923076923078</v>
      </c>
      <c r="J15" s="130">
        <f>+($J$18-$J$4-$J$5)/SUM($H$6:$H$16)*H15</f>
        <v>855923.07692307699</v>
      </c>
      <c r="K15" s="120"/>
      <c r="L15" s="221">
        <f t="shared" si="2"/>
        <v>1.7692307692307694</v>
      </c>
      <c r="M15" s="127">
        <v>30000</v>
      </c>
      <c r="N15" s="130">
        <f t="shared" si="3"/>
        <v>53076.923076923078</v>
      </c>
      <c r="O15" s="120"/>
      <c r="P15" s="130">
        <f>+J15+N15</f>
        <v>909000.00000000012</v>
      </c>
      <c r="Q15" s="120"/>
      <c r="R15" s="123">
        <v>875000</v>
      </c>
      <c r="S15" s="123">
        <f>+P15-R15</f>
        <v>34000.000000000116</v>
      </c>
      <c r="U15"/>
      <c r="V15"/>
      <c r="W15"/>
    </row>
    <row r="16" spans="2:24" x14ac:dyDescent="0.25">
      <c r="B16" s="227" t="s">
        <v>80</v>
      </c>
      <c r="C16" s="120"/>
      <c r="D16" s="228">
        <f>115/2</f>
        <v>57.5</v>
      </c>
      <c r="E16" s="229">
        <v>43000</v>
      </c>
      <c r="F16" s="230">
        <f t="shared" si="0"/>
        <v>2472500</v>
      </c>
      <c r="G16" s="120"/>
      <c r="H16" s="228">
        <v>57.5</v>
      </c>
      <c r="I16" s="229">
        <f t="shared" si="4"/>
        <v>34236.923076923078</v>
      </c>
      <c r="J16" s="230">
        <f>+($J$18-$J$4-$J$5)/SUM($H$6:$H$16)*H16</f>
        <v>1968623.076923077</v>
      </c>
      <c r="K16" s="120"/>
      <c r="L16" s="231">
        <f t="shared" si="2"/>
        <v>4.069230769230769</v>
      </c>
      <c r="M16" s="229">
        <v>30000</v>
      </c>
      <c r="N16" s="230">
        <f t="shared" si="3"/>
        <v>122076.92307692306</v>
      </c>
      <c r="O16" s="120"/>
      <c r="P16" s="230">
        <f t="shared" si="5"/>
        <v>2090700</v>
      </c>
      <c r="Q16" s="120"/>
      <c r="R16" s="230">
        <v>875000</v>
      </c>
      <c r="S16" s="230">
        <f t="shared" si="1"/>
        <v>1215700</v>
      </c>
      <c r="U16"/>
      <c r="V16"/>
      <c r="W16"/>
    </row>
    <row r="17" spans="2:23" x14ac:dyDescent="0.25">
      <c r="B17" s="112" t="s">
        <v>82</v>
      </c>
      <c r="C17" s="120"/>
      <c r="D17" s="114">
        <f>115/2</f>
        <v>57.5</v>
      </c>
      <c r="E17" s="127"/>
      <c r="F17" s="123">
        <f t="shared" si="0"/>
        <v>0</v>
      </c>
      <c r="G17" s="120"/>
      <c r="H17" s="114"/>
      <c r="I17" s="127"/>
      <c r="J17" s="130"/>
      <c r="K17" s="120"/>
      <c r="L17" s="221"/>
      <c r="M17" s="127"/>
      <c r="N17" s="130"/>
      <c r="O17" s="120"/>
      <c r="P17" s="130"/>
      <c r="Q17" s="120"/>
      <c r="R17" s="123"/>
      <c r="S17" s="123"/>
      <c r="U17"/>
      <c r="V17"/>
      <c r="W17"/>
    </row>
    <row r="18" spans="2:23" x14ac:dyDescent="0.25">
      <c r="C18" s="128"/>
      <c r="D18" s="129"/>
      <c r="E18" s="109"/>
      <c r="F18" s="124">
        <f>SUM(F4:F17)</f>
        <v>41817500</v>
      </c>
      <c r="G18" s="125"/>
      <c r="H18" s="129"/>
      <c r="I18" s="109"/>
      <c r="J18" s="124">
        <f>+F18</f>
        <v>41817500</v>
      </c>
      <c r="K18" s="125"/>
      <c r="L18" s="222">
        <f>SUM(L4:L17)</f>
        <v>57.5</v>
      </c>
      <c r="M18" s="109"/>
      <c r="N18" s="124">
        <f>SUM(N4:N17)</f>
        <v>1724999.9999999998</v>
      </c>
      <c r="O18" s="125"/>
      <c r="P18" s="124">
        <f>SUM(P4:P17)</f>
        <v>29542500</v>
      </c>
      <c r="Q18" s="125"/>
      <c r="R18" s="226">
        <f>SUM(R4:R17)</f>
        <v>17500000</v>
      </c>
      <c r="S18" s="226">
        <f>SUM(S4:S17)</f>
        <v>12042500</v>
      </c>
      <c r="U18" s="129"/>
      <c r="V18"/>
      <c r="W18"/>
    </row>
    <row r="19" spans="2:23" x14ac:dyDescent="0.25">
      <c r="B19"/>
      <c r="D19"/>
      <c r="E19"/>
      <c r="F19"/>
      <c r="H19"/>
      <c r="I19"/>
      <c r="J19"/>
      <c r="L19"/>
      <c r="M19"/>
      <c r="N19"/>
      <c r="P19"/>
      <c r="R19"/>
      <c r="S19"/>
      <c r="U19"/>
      <c r="V19"/>
      <c r="W19"/>
    </row>
    <row r="20" spans="2:23" x14ac:dyDescent="0.25">
      <c r="J20" s="124"/>
      <c r="N20" s="124"/>
      <c r="S20" s="124">
        <f>SUM(R18:S18)</f>
        <v>29542500</v>
      </c>
      <c r="T20" t="s">
        <v>85</v>
      </c>
      <c r="V20"/>
      <c r="W20"/>
    </row>
    <row r="21" spans="2:23" x14ac:dyDescent="0.25">
      <c r="B21" s="1" t="s">
        <v>88</v>
      </c>
      <c r="D21" s="110">
        <f>+COUNTIF(D4:D17,"&gt;0")-D22</f>
        <v>13</v>
      </c>
      <c r="E21" s="110">
        <v>3250</v>
      </c>
      <c r="F21" s="124">
        <f>+D21*E21*1000</f>
        <v>42250000</v>
      </c>
      <c r="J21" s="124"/>
      <c r="N21" s="124"/>
      <c r="R21"/>
      <c r="S21" s="124">
        <f>SUM(J4:J5)</f>
        <v>14000000</v>
      </c>
      <c r="T21" t="s">
        <v>84</v>
      </c>
      <c r="V21"/>
      <c r="W21"/>
    </row>
    <row r="22" spans="2:23" ht="15.75" thickBot="1" x14ac:dyDescent="0.3">
      <c r="B22" s="1" t="s">
        <v>89</v>
      </c>
      <c r="D22" s="110">
        <v>1</v>
      </c>
      <c r="E22" s="110">
        <v>1750</v>
      </c>
      <c r="F22" s="124">
        <f>+D22*E22*1000</f>
        <v>1750000</v>
      </c>
      <c r="R22"/>
      <c r="S22" s="225">
        <f>SUM(S20:S21)</f>
        <v>43542500</v>
      </c>
      <c r="T22" t="s">
        <v>87</v>
      </c>
      <c r="V22"/>
      <c r="W22"/>
    </row>
    <row r="23" spans="2:23" ht="15.75" thickBot="1" x14ac:dyDescent="0.3">
      <c r="E23"/>
      <c r="F23" s="224">
        <f>SUM(F21:F22)</f>
        <v>44000000</v>
      </c>
      <c r="R23"/>
      <c r="S23" s="223">
        <f>+S22-F23</f>
        <v>-457500</v>
      </c>
      <c r="T23" t="s">
        <v>86</v>
      </c>
      <c r="V23"/>
      <c r="W23"/>
    </row>
    <row r="24" spans="2:23" x14ac:dyDescent="0.25">
      <c r="E24"/>
      <c r="F24"/>
      <c r="R24"/>
      <c r="S24"/>
      <c r="T24" s="124"/>
      <c r="V24"/>
      <c r="W24"/>
    </row>
    <row r="25" spans="2:23" x14ac:dyDescent="0.25">
      <c r="E25"/>
      <c r="F25"/>
      <c r="V25"/>
      <c r="W25"/>
    </row>
    <row r="26" spans="2:23" x14ac:dyDescent="0.25">
      <c r="E26"/>
      <c r="F26"/>
      <c r="V26"/>
      <c r="W26"/>
    </row>
    <row r="27" spans="2:23" x14ac:dyDescent="0.25">
      <c r="E27"/>
      <c r="F27"/>
      <c r="V27"/>
      <c r="W27"/>
    </row>
    <row r="28" spans="2:23" x14ac:dyDescent="0.25">
      <c r="E28"/>
      <c r="F28"/>
    </row>
    <row r="29" spans="2:23" x14ac:dyDescent="0.25">
      <c r="E29"/>
      <c r="F29"/>
    </row>
    <row r="30" spans="2:23" x14ac:dyDescent="0.25">
      <c r="E30"/>
      <c r="F30"/>
    </row>
    <row r="31" spans="2:23" x14ac:dyDescent="0.25">
      <c r="E31"/>
      <c r="F31"/>
    </row>
    <row r="32" spans="2:23" x14ac:dyDescent="0.25">
      <c r="E32"/>
      <c r="F32"/>
    </row>
    <row r="33" spans="5:7" x14ac:dyDescent="0.25">
      <c r="E33"/>
      <c r="F33"/>
    </row>
    <row r="34" spans="5:7" x14ac:dyDescent="0.25">
      <c r="E34"/>
      <c r="F34"/>
    </row>
    <row r="35" spans="5:7" x14ac:dyDescent="0.25">
      <c r="E35"/>
      <c r="F35"/>
    </row>
    <row r="36" spans="5:7" x14ac:dyDescent="0.25">
      <c r="E36"/>
      <c r="F36"/>
      <c r="G36" s="110"/>
    </row>
    <row r="37" spans="5:7" x14ac:dyDescent="0.25">
      <c r="E37"/>
      <c r="F37"/>
    </row>
  </sheetData>
  <mergeCells count="4">
    <mergeCell ref="B2:S2"/>
    <mergeCell ref="D3:F3"/>
    <mergeCell ref="H3:J3"/>
    <mergeCell ref="L3:N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Sheet1 (7)</vt:lpstr>
      <vt:lpstr>Sheet1 (8)</vt:lpstr>
      <vt:lpstr>Sheet1 (2)</vt:lpstr>
      <vt:lpstr>Sheet1 (3)</vt:lpstr>
      <vt:lpstr>Sheet1 (4)</vt:lpstr>
      <vt:lpstr>Sheet1 (5)</vt:lpstr>
      <vt:lpstr>Sheet1 (6)</vt:lpstr>
      <vt:lpstr>AYRI--</vt:lpstr>
      <vt:lpstr>BİRLEŞME</vt:lpstr>
      <vt:lpstr>BİRLEŞME (2)</vt:lpstr>
      <vt:lpstr>BİRLEŞME (3)</vt:lpstr>
      <vt:lpstr>BİRLEŞME-3</vt:lpstr>
      <vt:lpstr>BİRLEŞME-3 (2)</vt:lpstr>
      <vt:lpstr>BİRLEŞME-3 (3)</vt:lpstr>
      <vt:lpstr>ÇAYKARA-1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Mahmut Kaya</dc:creator>
  <cp:keywords/>
  <dc:description/>
  <cp:lastModifiedBy>Mahmut Kaya</cp:lastModifiedBy>
  <cp:revision/>
  <dcterms:created xsi:type="dcterms:W3CDTF">2015-06-05T18:17:20Z</dcterms:created>
  <dcterms:modified xsi:type="dcterms:W3CDTF">2026-03-29T05:30:20Z</dcterms:modified>
  <cp:category/>
  <cp:contentStatus/>
</cp:coreProperties>
</file>